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00bd7a97d45f3e/Desktop/Shriya/Finance Projects/Report/"/>
    </mc:Choice>
  </mc:AlternateContent>
  <xr:revisionPtr revIDLastSave="7" documentId="11_666D56CFF1487B52421422D5B3B6FB912F9987C2" xr6:coauthVersionLast="47" xr6:coauthVersionMax="47" xr10:uidLastSave="{CF97E029-A106-47F6-BE35-79065C96FC34}"/>
  <bookViews>
    <workbookView xWindow="-108" yWindow="-108" windowWidth="23256" windowHeight="13176" tabRatio="811" firstSheet="1" activeTab="15" xr2:uid="{00000000-000D-0000-FFFF-FFFF00000000}"/>
  </bookViews>
  <sheets>
    <sheet name="Sheet1" sheetId="33" state="hidden" r:id="rId1"/>
    <sheet name="Cover Page" sheetId="36" r:id="rId2"/>
    <sheet name="Sign" sheetId="40" r:id="rId3"/>
    <sheet name="Index" sheetId="12" r:id="rId4"/>
    <sheet name="Project" sheetId="38" r:id="rId5"/>
    <sheet name="Cost" sheetId="29" r:id="rId6"/>
    <sheet name="profit" sheetId="9" r:id="rId7"/>
    <sheet name="Cash" sheetId="8" r:id="rId8"/>
    <sheet name="B.sheet" sheetId="24" r:id="rId9"/>
    <sheet name="Depr." sheetId="6" r:id="rId10"/>
    <sheet name="BEP" sheetId="18" r:id="rId11"/>
    <sheet name="FI" sheetId="34" r:id="rId12"/>
    <sheet name="Interest" sheetId="16" state="hidden" r:id="rId13"/>
    <sheet name="Annex 5 DSCR" sheetId="15" state="hidden" r:id="rId14"/>
    <sheet name="Annex 6 ROI" sheetId="14" r:id="rId15"/>
    <sheet name="Assumptions" sheetId="39" r:id="rId16"/>
  </sheets>
  <definedNames>
    <definedName name="_xlnm.Print_Area" localSheetId="13">'Annex 5 DSCR'!$A$1:$G$27</definedName>
    <definedName name="_xlnm.Print_Area" localSheetId="14">'Annex 6 ROI'!$A$1:$G$38</definedName>
    <definedName name="_xlnm.Print_Area" localSheetId="8">B.sheet!$A$1:$G$27</definedName>
    <definedName name="_xlnm.Print_Area" localSheetId="10">BEP!$A$1:$G$30</definedName>
    <definedName name="_xlnm.Print_Area" localSheetId="7">Cash!$A$1:$G$34</definedName>
    <definedName name="_xlnm.Print_Area" localSheetId="5">Cost!$A$1:$D$39</definedName>
    <definedName name="_xlnm.Print_Area" localSheetId="1">'Cover Page'!$A$1:$G$34</definedName>
    <definedName name="_xlnm.Print_Area" localSheetId="9">Depr.!$A$1:$G$23</definedName>
    <definedName name="_xlnm.Print_Area" localSheetId="11">FI!$A$1:$G$32</definedName>
    <definedName name="_xlnm.Print_Area" localSheetId="3">Index!$A$1:$D$22</definedName>
    <definedName name="_xlnm.Print_Area" localSheetId="12">Interest!$A$1:$G$72</definedName>
    <definedName name="_xlnm.Print_Area" localSheetId="6">profit!$A$1:$G$45</definedName>
    <definedName name="_xlnm.Print_Area" localSheetId="4">Project!$A$1:$G$51</definedName>
    <definedName name="_xlnm.Print_Area" localSheetId="2">Sign!$A$1:$I$46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6" l="1"/>
  <c r="B10" i="6"/>
  <c r="C9" i="9"/>
  <c r="D9" i="9" s="1"/>
  <c r="E9" i="9" s="1"/>
  <c r="F9" i="9" s="1"/>
  <c r="C30" i="9"/>
  <c r="D30" i="9" s="1"/>
  <c r="E30" i="9" s="1"/>
  <c r="F30" i="9" s="1"/>
  <c r="C19" i="9"/>
  <c r="D19" i="9" s="1"/>
  <c r="E19" i="9" s="1"/>
  <c r="F19" i="9" s="1"/>
  <c r="C18" i="9"/>
  <c r="D18" i="9" s="1"/>
  <c r="E18" i="9" s="1"/>
  <c r="F18" i="9" s="1"/>
  <c r="C20" i="9"/>
  <c r="D20" i="9" s="1"/>
  <c r="E20" i="9" s="1"/>
  <c r="F20" i="9" s="1"/>
  <c r="C16" i="9"/>
  <c r="D16" i="9" s="1"/>
  <c r="E16" i="9" s="1"/>
  <c r="F16" i="9" s="1"/>
  <c r="B15" i="9"/>
  <c r="C15" i="9" s="1"/>
  <c r="D15" i="9" s="1"/>
  <c r="E15" i="9" s="1"/>
  <c r="F15" i="9" s="1"/>
  <c r="F14" i="9"/>
  <c r="E14" i="9"/>
  <c r="D14" i="9"/>
  <c r="C14" i="9"/>
  <c r="B14" i="9"/>
  <c r="B13" i="9"/>
  <c r="C13" i="9" s="1"/>
  <c r="D13" i="9" s="1"/>
  <c r="E13" i="9" s="1"/>
  <c r="F13" i="9" s="1"/>
  <c r="E15" i="39" l="1"/>
  <c r="G13" i="39"/>
  <c r="G11" i="39"/>
  <c r="G15" i="39" l="1"/>
  <c r="C18" i="29"/>
  <c r="F26" i="34"/>
  <c r="E26" i="34"/>
  <c r="D26" i="34"/>
  <c r="C26" i="34"/>
  <c r="C11" i="16" l="1"/>
  <c r="E35" i="29"/>
  <c r="C29" i="29"/>
  <c r="C9" i="29" s="1"/>
  <c r="H11" i="16" l="1"/>
  <c r="D11" i="16" s="1"/>
  <c r="E11" i="16"/>
  <c r="E34" i="29"/>
  <c r="D39" i="38" s="1"/>
  <c r="B12" i="8"/>
  <c r="F11" i="16" l="1"/>
  <c r="G11" i="16" s="1"/>
  <c r="B28" i="34"/>
  <c r="B13" i="8"/>
  <c r="B15" i="6" l="1"/>
  <c r="D31" i="38"/>
  <c r="C28" i="34" l="1"/>
  <c r="C30" i="34" s="1"/>
  <c r="D33" i="38"/>
  <c r="C38" i="29"/>
  <c r="B12" i="24"/>
  <c r="D28" i="34" l="1"/>
  <c r="D30" i="34" s="1"/>
  <c r="E28" i="34" l="1"/>
  <c r="E30" i="34" s="1"/>
  <c r="F28" i="34" l="1"/>
  <c r="F30" i="34" s="1"/>
  <c r="A14" i="6"/>
  <c r="C12" i="24"/>
  <c r="A1" i="29" l="1"/>
  <c r="A2" i="12"/>
  <c r="B1" i="38" s="1"/>
  <c r="D7" i="38" s="1"/>
  <c r="D9" i="38" s="1"/>
  <c r="B11" i="6" l="1"/>
  <c r="B22" i="6" s="1"/>
  <c r="B15" i="18" s="1"/>
  <c r="B16" i="34"/>
  <c r="C16" i="34" l="1"/>
  <c r="E16" i="34" l="1"/>
  <c r="D16" i="34"/>
  <c r="D12" i="16"/>
  <c r="D13" i="16" l="1"/>
  <c r="C14" i="6"/>
  <c r="C15" i="6" l="1"/>
  <c r="D14" i="16"/>
  <c r="F16" i="34"/>
  <c r="B16" i="6"/>
  <c r="C16" i="6" l="1"/>
  <c r="D14" i="6"/>
  <c r="D15" i="6" s="1"/>
  <c r="D15" i="16"/>
  <c r="D16" i="6" l="1"/>
  <c r="E14" i="6"/>
  <c r="E15" i="6" s="1"/>
  <c r="D16" i="16"/>
  <c r="E16" i="6" l="1"/>
  <c r="D17" i="16"/>
  <c r="F14" i="6"/>
  <c r="D11" i="9"/>
  <c r="F15" i="6" l="1"/>
  <c r="D18" i="16"/>
  <c r="E11" i="9"/>
  <c r="F16" i="6" l="1"/>
  <c r="D19" i="16"/>
  <c r="F11" i="9"/>
  <c r="C11" i="9"/>
  <c r="D20" i="16" l="1"/>
  <c r="B17" i="18"/>
  <c r="C9" i="18"/>
  <c r="B9" i="18"/>
  <c r="C17" i="18"/>
  <c r="B11" i="9"/>
  <c r="D9" i="18"/>
  <c r="E9" i="18"/>
  <c r="D21" i="16" l="1"/>
  <c r="C12" i="16"/>
  <c r="E12" i="16" s="1"/>
  <c r="A1" i="9"/>
  <c r="A1" i="8" s="1"/>
  <c r="A1" i="24" s="1"/>
  <c r="A1" i="6" s="1"/>
  <c r="D17" i="18"/>
  <c r="D22" i="16" l="1"/>
  <c r="A1" i="18"/>
  <c r="A1" i="16" s="1"/>
  <c r="A1" i="15" s="1"/>
  <c r="A1" i="14" s="1"/>
  <c r="A1" i="39" s="1"/>
  <c r="A1" i="34"/>
  <c r="F17" i="18"/>
  <c r="E17" i="18"/>
  <c r="F9" i="18"/>
  <c r="F12" i="16" l="1"/>
  <c r="G12" i="16" s="1"/>
  <c r="C13" i="16" s="1"/>
  <c r="E13" i="16" s="1"/>
  <c r="D23" i="16"/>
  <c r="D24" i="16" l="1"/>
  <c r="F13" i="16" l="1"/>
  <c r="G13" i="16" s="1"/>
  <c r="C14" i="16" s="1"/>
  <c r="E14" i="16" s="1"/>
  <c r="D25" i="16"/>
  <c r="D26" i="16" l="1"/>
  <c r="F14" i="16" l="1"/>
  <c r="G14" i="16" s="1"/>
  <c r="C15" i="16" s="1"/>
  <c r="E15" i="16" s="1"/>
  <c r="D27" i="16"/>
  <c r="D28" i="16" l="1"/>
  <c r="F15" i="16" l="1"/>
  <c r="G15" i="16" s="1"/>
  <c r="C16" i="16" s="1"/>
  <c r="E16" i="16" s="1"/>
  <c r="D29" i="16"/>
  <c r="D30" i="16" l="1"/>
  <c r="F16" i="16" l="1"/>
  <c r="G16" i="16" s="1"/>
  <c r="C17" i="16" s="1"/>
  <c r="E17" i="16" s="1"/>
  <c r="D31" i="16"/>
  <c r="F17" i="16" l="1"/>
  <c r="G17" i="16" s="1"/>
  <c r="C18" i="16" s="1"/>
  <c r="E18" i="16" s="1"/>
  <c r="D32" i="16"/>
  <c r="F18" i="16" l="1"/>
  <c r="G18" i="16" s="1"/>
  <c r="C19" i="16" s="1"/>
  <c r="E19" i="16" s="1"/>
  <c r="D33" i="16"/>
  <c r="D34" i="16" l="1"/>
  <c r="F19" i="16" l="1"/>
  <c r="G19" i="16" s="1"/>
  <c r="C20" i="16" s="1"/>
  <c r="E20" i="16" s="1"/>
  <c r="D35" i="16"/>
  <c r="D36" i="16" l="1"/>
  <c r="F20" i="16" l="1"/>
  <c r="G20" i="16" s="1"/>
  <c r="C21" i="16" s="1"/>
  <c r="E21" i="16" s="1"/>
  <c r="D37" i="16"/>
  <c r="F21" i="16" l="1"/>
  <c r="G21" i="16" s="1"/>
  <c r="C22" i="16" s="1"/>
  <c r="E22" i="16" s="1"/>
  <c r="D38" i="16"/>
  <c r="H22" i="16" l="1"/>
  <c r="D39" i="16"/>
  <c r="F22" i="16" l="1"/>
  <c r="I22" i="16" s="1"/>
  <c r="D40" i="16"/>
  <c r="B21" i="8" l="1"/>
  <c r="B12" i="15"/>
  <c r="B17" i="15"/>
  <c r="B16" i="18"/>
  <c r="B23" i="14"/>
  <c r="J22" i="16"/>
  <c r="B20" i="8"/>
  <c r="B16" i="15" s="1"/>
  <c r="B19" i="15" s="1"/>
  <c r="G22" i="16"/>
  <c r="D41" i="16"/>
  <c r="B12" i="34" l="1"/>
  <c r="C23" i="16"/>
  <c r="E23" i="16" s="1"/>
  <c r="D42" i="16"/>
  <c r="F23" i="16" l="1"/>
  <c r="G23" i="16" s="1"/>
  <c r="C24" i="16" s="1"/>
  <c r="E24" i="16" s="1"/>
  <c r="D43" i="16"/>
  <c r="F24" i="16" l="1"/>
  <c r="G24" i="16" s="1"/>
  <c r="C25" i="16" s="1"/>
  <c r="E25" i="16" s="1"/>
  <c r="D44" i="16"/>
  <c r="F25" i="16" l="1"/>
  <c r="G25" i="16" s="1"/>
  <c r="C26" i="16" s="1"/>
  <c r="B19" i="8"/>
  <c r="B23" i="8" s="1"/>
  <c r="D29" i="38"/>
  <c r="B21" i="9"/>
  <c r="B22" i="9" s="1"/>
  <c r="B24" i="9" s="1"/>
  <c r="D43" i="38" s="1"/>
  <c r="D45" i="16"/>
  <c r="B18" i="18"/>
  <c r="B12" i="6"/>
  <c r="B19" i="6" s="1"/>
  <c r="C10" i="6"/>
  <c r="C11" i="6" s="1"/>
  <c r="C22" i="6" s="1"/>
  <c r="E26" i="16" l="1"/>
  <c r="F26" i="16" s="1"/>
  <c r="G26" i="16" s="1"/>
  <c r="C27" i="16" s="1"/>
  <c r="E27" i="16" s="1"/>
  <c r="F27" i="16" s="1"/>
  <c r="G27" i="16" s="1"/>
  <c r="C28" i="16" s="1"/>
  <c r="E28" i="16" s="1"/>
  <c r="C15" i="18"/>
  <c r="B22" i="24"/>
  <c r="B38" i="9"/>
  <c r="B21" i="14" s="1"/>
  <c r="B32" i="9"/>
  <c r="D45" i="38" s="1"/>
  <c r="D46" i="16"/>
  <c r="B11" i="8"/>
  <c r="C21" i="9"/>
  <c r="C38" i="9" s="1"/>
  <c r="B36" i="9" l="1"/>
  <c r="B11" i="18"/>
  <c r="B20" i="18" s="1"/>
  <c r="B22" i="18" s="1"/>
  <c r="D47" i="16"/>
  <c r="B32" i="14"/>
  <c r="D12" i="24"/>
  <c r="D10" i="6"/>
  <c r="D11" i="6" s="1"/>
  <c r="D22" i="6" s="1"/>
  <c r="C12" i="6"/>
  <c r="C19" i="6" s="1"/>
  <c r="B11" i="15"/>
  <c r="B10" i="8" l="1"/>
  <c r="B16" i="8" s="1"/>
  <c r="B40" i="9"/>
  <c r="B44" i="9" s="1"/>
  <c r="D15" i="18"/>
  <c r="C22" i="24"/>
  <c r="F28" i="16"/>
  <c r="G28" i="16" s="1"/>
  <c r="C29" i="16" s="1"/>
  <c r="E29" i="16" s="1"/>
  <c r="D48" i="16"/>
  <c r="B18" i="34"/>
  <c r="B22" i="34" s="1"/>
  <c r="E12" i="24"/>
  <c r="D21" i="9"/>
  <c r="B27" i="18"/>
  <c r="B25" i="18"/>
  <c r="C22" i="9"/>
  <c r="C11" i="8"/>
  <c r="D49" i="16" l="1"/>
  <c r="C11" i="18"/>
  <c r="C20" i="18" s="1"/>
  <c r="C22" i="18" s="1"/>
  <c r="C24" i="9"/>
  <c r="E10" i="6"/>
  <c r="E11" i="6" s="1"/>
  <c r="E22" i="6" s="1"/>
  <c r="F12" i="24"/>
  <c r="D12" i="6"/>
  <c r="D19" i="6" s="1"/>
  <c r="B19" i="14"/>
  <c r="B26" i="14" s="1"/>
  <c r="C21" i="14"/>
  <c r="C11" i="15"/>
  <c r="E15" i="18" l="1"/>
  <c r="F29" i="16"/>
  <c r="G29" i="16" s="1"/>
  <c r="C30" i="16" s="1"/>
  <c r="E30" i="16" s="1"/>
  <c r="D50" i="16"/>
  <c r="D22" i="24"/>
  <c r="C18" i="34"/>
  <c r="C22" i="34" s="1"/>
  <c r="D11" i="8"/>
  <c r="D22" i="9"/>
  <c r="D38" i="9"/>
  <c r="E21" i="9"/>
  <c r="F30" i="16" l="1"/>
  <c r="G30" i="16" s="1"/>
  <c r="C31" i="16" s="1"/>
  <c r="E31" i="16" s="1"/>
  <c r="B13" i="24"/>
  <c r="D51" i="16"/>
  <c r="B28" i="8"/>
  <c r="B32" i="8" s="1"/>
  <c r="B24" i="24" s="1"/>
  <c r="B20" i="34"/>
  <c r="B24" i="34" s="1"/>
  <c r="B10" i="15"/>
  <c r="B13" i="15" s="1"/>
  <c r="B22" i="15" s="1"/>
  <c r="F10" i="6"/>
  <c r="D11" i="15"/>
  <c r="D21" i="14"/>
  <c r="E12" i="6"/>
  <c r="E19" i="6" s="1"/>
  <c r="D11" i="18"/>
  <c r="D20" i="18" s="1"/>
  <c r="D22" i="18" s="1"/>
  <c r="D24" i="9"/>
  <c r="F11" i="6" l="1"/>
  <c r="F22" i="6" s="1"/>
  <c r="F21" i="9" s="1"/>
  <c r="F38" i="9" s="1"/>
  <c r="B10" i="34"/>
  <c r="B14" i="34" s="1"/>
  <c r="D52" i="16"/>
  <c r="E22" i="24"/>
  <c r="D18" i="34"/>
  <c r="D22" i="34" s="1"/>
  <c r="E38" i="9"/>
  <c r="E11" i="8"/>
  <c r="E22" i="9"/>
  <c r="F15" i="18" l="1"/>
  <c r="F31" i="16"/>
  <c r="G31" i="16" s="1"/>
  <c r="C32" i="16" s="1"/>
  <c r="E32" i="16" s="1"/>
  <c r="C26" i="8"/>
  <c r="D53" i="16"/>
  <c r="E11" i="18"/>
  <c r="E20" i="18" s="1"/>
  <c r="E22" i="18" s="1"/>
  <c r="E24" i="9"/>
  <c r="E21" i="14"/>
  <c r="E11" i="15"/>
  <c r="F12" i="6"/>
  <c r="F19" i="6" s="1"/>
  <c r="F32" i="16" l="1"/>
  <c r="G32" i="16" s="1"/>
  <c r="C33" i="16" s="1"/>
  <c r="E33" i="16" s="1"/>
  <c r="D54" i="16"/>
  <c r="F22" i="24"/>
  <c r="F22" i="9"/>
  <c r="F11" i="8"/>
  <c r="E18" i="34"/>
  <c r="E22" i="34" s="1"/>
  <c r="F33" i="16" l="1"/>
  <c r="G33" i="16" s="1"/>
  <c r="C34" i="16" s="1"/>
  <c r="E34" i="16" s="1"/>
  <c r="D55" i="16"/>
  <c r="F21" i="14"/>
  <c r="F11" i="15"/>
  <c r="F24" i="9"/>
  <c r="F11" i="18"/>
  <c r="F20" i="18" s="1"/>
  <c r="F22" i="18" s="1"/>
  <c r="H34" i="16" l="1"/>
  <c r="D56" i="16"/>
  <c r="F18" i="34"/>
  <c r="F22" i="34" s="1"/>
  <c r="F34" i="16" l="1"/>
  <c r="D57" i="16"/>
  <c r="I34" i="16" l="1"/>
  <c r="G34" i="16"/>
  <c r="D58" i="16"/>
  <c r="C20" i="8" l="1"/>
  <c r="C16" i="15" s="1"/>
  <c r="J34" i="16"/>
  <c r="C12" i="34"/>
  <c r="C35" i="16"/>
  <c r="E35" i="16" s="1"/>
  <c r="C17" i="15"/>
  <c r="C12" i="15"/>
  <c r="C23" i="14"/>
  <c r="C21" i="8"/>
  <c r="C16" i="18"/>
  <c r="C18" i="18" s="1"/>
  <c r="C25" i="18" s="1"/>
  <c r="D59" i="16"/>
  <c r="C32" i="9"/>
  <c r="F35" i="16" l="1"/>
  <c r="G35" i="16" s="1"/>
  <c r="C36" i="16" s="1"/>
  <c r="E36" i="16" s="1"/>
  <c r="C27" i="18"/>
  <c r="C36" i="9"/>
  <c r="D60" i="16"/>
  <c r="C19" i="15"/>
  <c r="C23" i="8"/>
  <c r="C19" i="14"/>
  <c r="C26" i="14" s="1"/>
  <c r="F36" i="16" l="1"/>
  <c r="G36" i="16" s="1"/>
  <c r="C37" i="16" s="1"/>
  <c r="E37" i="16" s="1"/>
  <c r="D61" i="16"/>
  <c r="C20" i="34"/>
  <c r="C24" i="34" s="1"/>
  <c r="F37" i="16" l="1"/>
  <c r="G37" i="16" s="1"/>
  <c r="C38" i="16" s="1"/>
  <c r="E38" i="16" s="1"/>
  <c r="C40" i="9"/>
  <c r="C44" i="9" s="1"/>
  <c r="C10" i="8"/>
  <c r="C16" i="8" s="1"/>
  <c r="C10" i="15"/>
  <c r="C13" i="15" s="1"/>
  <c r="C22" i="15" s="1"/>
  <c r="C13" i="24"/>
  <c r="C18" i="24" s="1"/>
  <c r="D62" i="16"/>
  <c r="F38" i="16" l="1"/>
  <c r="G38" i="16" s="1"/>
  <c r="C39" i="16" s="1"/>
  <c r="E39" i="16" s="1"/>
  <c r="C28" i="8"/>
  <c r="C32" i="8" s="1"/>
  <c r="C10" i="34"/>
  <c r="C14" i="34" s="1"/>
  <c r="D63" i="16"/>
  <c r="F39" i="16" l="1"/>
  <c r="G39" i="16" s="1"/>
  <c r="C40" i="16" s="1"/>
  <c r="E40" i="16" s="1"/>
  <c r="C24" i="24"/>
  <c r="C26" i="24" s="1"/>
  <c r="I22" i="24" s="1"/>
  <c r="D26" i="8"/>
  <c r="D64" i="16"/>
  <c r="C29" i="24" l="1"/>
  <c r="D65" i="16"/>
  <c r="F40" i="16" l="1"/>
  <c r="G40" i="16" s="1"/>
  <c r="C41" i="16" s="1"/>
  <c r="E41" i="16" s="1"/>
  <c r="D66" i="16"/>
  <c r="D67" i="16" l="1"/>
  <c r="F41" i="16" l="1"/>
  <c r="G41" i="16" s="1"/>
  <c r="C42" i="16" s="1"/>
  <c r="E42" i="16" s="1"/>
  <c r="D68" i="16"/>
  <c r="D69" i="16" l="1"/>
  <c r="D70" i="16" s="1"/>
  <c r="F42" i="16" l="1"/>
  <c r="G42" i="16" s="1"/>
  <c r="C43" i="16" s="1"/>
  <c r="E43" i="16" s="1"/>
  <c r="F43" i="16" l="1"/>
  <c r="G43" i="16" s="1"/>
  <c r="C44" i="16" s="1"/>
  <c r="E44" i="16" s="1"/>
  <c r="F44" i="16" l="1"/>
  <c r="G44" i="16" s="1"/>
  <c r="C45" i="16" s="1"/>
  <c r="E45" i="16" s="1"/>
  <c r="F45" i="16" l="1"/>
  <c r="G45" i="16" s="1"/>
  <c r="C46" i="16" s="1"/>
  <c r="E46" i="16" s="1"/>
  <c r="H46" i="16" l="1"/>
  <c r="F46" i="16" l="1"/>
  <c r="I46" i="16" l="1"/>
  <c r="G46" i="16"/>
  <c r="J46" i="16" l="1"/>
  <c r="D20" i="8"/>
  <c r="D16" i="15" s="1"/>
  <c r="D12" i="34"/>
  <c r="C47" i="16"/>
  <c r="E47" i="16" s="1"/>
  <c r="D17" i="15"/>
  <c r="D12" i="15"/>
  <c r="D23" i="14"/>
  <c r="D21" i="8"/>
  <c r="D16" i="18"/>
  <c r="D18" i="18" s="1"/>
  <c r="D25" i="18" s="1"/>
  <c r="D32" i="9"/>
  <c r="F47" i="16" l="1"/>
  <c r="G47" i="16" s="1"/>
  <c r="C48" i="16" s="1"/>
  <c r="E48" i="16" s="1"/>
  <c r="D27" i="18"/>
  <c r="D19" i="15"/>
  <c r="D23" i="8"/>
  <c r="D19" i="14"/>
  <c r="D26" i="14" s="1"/>
  <c r="F48" i="16" l="1"/>
  <c r="G48" i="16" s="1"/>
  <c r="C49" i="16" s="1"/>
  <c r="E49" i="16" s="1"/>
  <c r="D36" i="9"/>
  <c r="F49" i="16" l="1"/>
  <c r="G49" i="16" s="1"/>
  <c r="C50" i="16" s="1"/>
  <c r="E50" i="16" s="1"/>
  <c r="D10" i="15"/>
  <c r="D13" i="15" s="1"/>
  <c r="D22" i="15" s="1"/>
  <c r="D40" i="9"/>
  <c r="D44" i="9" s="1"/>
  <c r="D10" i="8"/>
  <c r="D16" i="8" s="1"/>
  <c r="D28" i="8" s="1"/>
  <c r="D32" i="8" s="1"/>
  <c r="D13" i="24"/>
  <c r="D20" i="34"/>
  <c r="D24" i="34" s="1"/>
  <c r="F50" i="16" l="1"/>
  <c r="G50" i="16" s="1"/>
  <c r="C51" i="16" s="1"/>
  <c r="E51" i="16" s="1"/>
  <c r="D10" i="34"/>
  <c r="D14" i="34" s="1"/>
  <c r="D18" i="24"/>
  <c r="D24" i="24"/>
  <c r="D26" i="24" s="1"/>
  <c r="E26" i="8"/>
  <c r="I23" i="24" l="1"/>
  <c r="F51" i="16"/>
  <c r="G51" i="16" s="1"/>
  <c r="C52" i="16" s="1"/>
  <c r="E52" i="16" s="1"/>
  <c r="D29" i="24"/>
  <c r="F52" i="16" l="1"/>
  <c r="G52" i="16" s="1"/>
  <c r="C53" i="16" s="1"/>
  <c r="E53" i="16" s="1"/>
  <c r="F53" i="16" l="1"/>
  <c r="G53" i="16" s="1"/>
  <c r="C54" i="16" s="1"/>
  <c r="E54" i="16" s="1"/>
  <c r="F54" i="16" l="1"/>
  <c r="G54" i="16" s="1"/>
  <c r="C55" i="16" s="1"/>
  <c r="E55" i="16" s="1"/>
  <c r="F55" i="16" l="1"/>
  <c r="G55" i="16" s="1"/>
  <c r="C56" i="16" s="1"/>
  <c r="E56" i="16" s="1"/>
  <c r="F56" i="16" l="1"/>
  <c r="G56" i="16" s="1"/>
  <c r="C57" i="16" s="1"/>
  <c r="E57" i="16" s="1"/>
  <c r="F57" i="16" l="1"/>
  <c r="G57" i="16" s="1"/>
  <c r="C58" i="16" s="1"/>
  <c r="E58" i="16" s="1"/>
  <c r="H58" i="16" l="1"/>
  <c r="F58" i="16" l="1"/>
  <c r="E17" i="15" l="1"/>
  <c r="E16" i="18"/>
  <c r="E18" i="18" s="1"/>
  <c r="E27" i="18" s="1"/>
  <c r="E21" i="8"/>
  <c r="E23" i="14"/>
  <c r="E12" i="15"/>
  <c r="E32" i="9"/>
  <c r="I58" i="16"/>
  <c r="G58" i="16"/>
  <c r="E36" i="9" l="1"/>
  <c r="E40" i="9" s="1"/>
  <c r="E25" i="18"/>
  <c r="E19" i="14"/>
  <c r="E26" i="14" s="1"/>
  <c r="E12" i="34"/>
  <c r="C59" i="16"/>
  <c r="E59" i="16" s="1"/>
  <c r="J58" i="16"/>
  <c r="E20" i="8"/>
  <c r="E13" i="24" l="1"/>
  <c r="E10" i="34" s="1"/>
  <c r="E14" i="34" s="1"/>
  <c r="E10" i="15"/>
  <c r="E13" i="15" s="1"/>
  <c r="E10" i="8"/>
  <c r="E16" i="8" s="1"/>
  <c r="E20" i="34"/>
  <c r="E24" i="34" s="1"/>
  <c r="F59" i="16"/>
  <c r="G59" i="16" s="1"/>
  <c r="C60" i="16" s="1"/>
  <c r="E60" i="16" s="1"/>
  <c r="E23" i="8"/>
  <c r="E16" i="15"/>
  <c r="E19" i="15" s="1"/>
  <c r="E44" i="9"/>
  <c r="E18" i="24" l="1"/>
  <c r="E22" i="15"/>
  <c r="E28" i="8"/>
  <c r="E32" i="8" s="1"/>
  <c r="F26" i="8" s="1"/>
  <c r="F60" i="16"/>
  <c r="G60" i="16" s="1"/>
  <c r="C61" i="16" s="1"/>
  <c r="E61" i="16" s="1"/>
  <c r="E24" i="24" l="1"/>
  <c r="E26" i="24" s="1"/>
  <c r="E29" i="24" s="1"/>
  <c r="F61" i="16"/>
  <c r="G61" i="16" s="1"/>
  <c r="C62" i="16" s="1"/>
  <c r="E62" i="16" s="1"/>
  <c r="I24" i="24" l="1"/>
  <c r="F62" i="16"/>
  <c r="G62" i="16" s="1"/>
  <c r="C63" i="16" s="1"/>
  <c r="E63" i="16" s="1"/>
  <c r="F63" i="16" l="1"/>
  <c r="G63" i="16" s="1"/>
  <c r="C64" i="16" l="1"/>
  <c r="E64" i="16" s="1"/>
  <c r="F64" i="16" l="1"/>
  <c r="G64" i="16" s="1"/>
  <c r="C65" i="16" l="1"/>
  <c r="E65" i="16" s="1"/>
  <c r="F65" i="16" l="1"/>
  <c r="G65" i="16" s="1"/>
  <c r="C66" i="16" s="1"/>
  <c r="E66" i="16" s="1"/>
  <c r="F66" i="16" l="1"/>
  <c r="G66" i="16" s="1"/>
  <c r="C67" i="16" s="1"/>
  <c r="E67" i="16" s="1"/>
  <c r="F67" i="16" l="1"/>
  <c r="G67" i="16" s="1"/>
  <c r="C68" i="16" s="1"/>
  <c r="E68" i="16" s="1"/>
  <c r="F68" i="16" l="1"/>
  <c r="G68" i="16" s="1"/>
  <c r="C69" i="16" s="1"/>
  <c r="E69" i="16" s="1"/>
  <c r="F69" i="16" l="1"/>
  <c r="G69" i="16" s="1"/>
  <c r="C70" i="16" s="1"/>
  <c r="E70" i="16" s="1"/>
  <c r="H70" i="16" l="1"/>
  <c r="F70" i="16" l="1"/>
  <c r="I70" i="16" l="1"/>
  <c r="G70" i="16"/>
  <c r="J70" i="16" l="1"/>
  <c r="F12" i="34"/>
  <c r="F20" i="8" l="1"/>
  <c r="F21" i="8" l="1"/>
  <c r="F23" i="14"/>
  <c r="F17" i="15"/>
  <c r="F12" i="15"/>
  <c r="F16" i="18"/>
  <c r="F18" i="18" s="1"/>
  <c r="F25" i="18" s="1"/>
  <c r="F16" i="15"/>
  <c r="F32" i="9"/>
  <c r="F27" i="18" l="1"/>
  <c r="F19" i="15"/>
  <c r="F19" i="14"/>
  <c r="F26" i="14" s="1"/>
  <c r="F23" i="8"/>
  <c r="B30" i="14" l="1"/>
  <c r="B34" i="14" s="1"/>
  <c r="D47" i="38" s="1"/>
  <c r="F36" i="9"/>
  <c r="F20" i="34" l="1"/>
  <c r="F24" i="34" s="1"/>
  <c r="F40" i="9"/>
  <c r="F44" i="9" s="1"/>
  <c r="F10" i="8"/>
  <c r="F16" i="8" s="1"/>
  <c r="F28" i="8" s="1"/>
  <c r="F32" i="8" s="1"/>
  <c r="F13" i="24"/>
  <c r="F10" i="15"/>
  <c r="F13" i="15" s="1"/>
  <c r="F22" i="15" s="1"/>
  <c r="B24" i="15" s="1"/>
  <c r="D41" i="38" s="1"/>
  <c r="F24" i="24" l="1"/>
  <c r="F26" i="24" s="1"/>
  <c r="F10" i="34"/>
  <c r="F14" i="34" s="1"/>
  <c r="F18" i="24"/>
  <c r="I25" i="24" l="1"/>
  <c r="H75" i="16"/>
  <c r="F29" i="24"/>
  <c r="E75" i="16"/>
  <c r="F75" i="16" s="1"/>
  <c r="G75" i="16" s="1"/>
  <c r="I75" i="16" l="1"/>
  <c r="B26" i="34"/>
  <c r="B30" i="34" s="1"/>
  <c r="B26" i="24"/>
  <c r="B18" i="24" l="1"/>
  <c r="I21" i="24" s="1"/>
  <c r="B29" i="24" l="1"/>
</calcChain>
</file>

<file path=xl/sharedStrings.xml><?xml version="1.0" encoding="utf-8"?>
<sst xmlns="http://schemas.openxmlformats.org/spreadsheetml/2006/main" count="327" uniqueCount="262">
  <si>
    <t>Cost of the Project</t>
  </si>
  <si>
    <t>Depreciation</t>
  </si>
  <si>
    <t>Profit before tax</t>
  </si>
  <si>
    <t>PROJECTIONS AND PROFITABILITY STATEMENT</t>
  </si>
  <si>
    <t>PARTICULARS</t>
  </si>
  <si>
    <t xml:space="preserve">     Depreciation</t>
  </si>
  <si>
    <t>C.  Gross Profit [ A - B ]</t>
  </si>
  <si>
    <t>F.  Profit before Tax[ C - (D+E) ]</t>
  </si>
  <si>
    <t>G.  Income Tax</t>
  </si>
  <si>
    <t>J.   Cash Accruals ( H + I )</t>
  </si>
  <si>
    <t>CASH - FLOW STATEMENT :</t>
  </si>
  <si>
    <t xml:space="preserve">    Profit after Tax</t>
  </si>
  <si>
    <t xml:space="preserve">    Depreciation</t>
  </si>
  <si>
    <t xml:space="preserve"> </t>
  </si>
  <si>
    <t xml:space="preserve"> - </t>
  </si>
  <si>
    <t xml:space="preserve">    TOTAL OF ' A '</t>
  </si>
  <si>
    <t xml:space="preserve">     TOTAL OF ' B '</t>
  </si>
  <si>
    <t>C.  Opening Balance</t>
  </si>
  <si>
    <t>D.  Net surplus ( A - B )</t>
  </si>
  <si>
    <t xml:space="preserve">     TOTAL </t>
  </si>
  <si>
    <t xml:space="preserve">    </t>
  </si>
  <si>
    <t>:</t>
  </si>
  <si>
    <t>I  N  D  E  X</t>
  </si>
  <si>
    <t>SL.</t>
  </si>
  <si>
    <t>C O N T E N T S</t>
  </si>
  <si>
    <t>PAGES</t>
  </si>
  <si>
    <t>CHAPTER :</t>
  </si>
  <si>
    <t>PROJECT AT GLANCE</t>
  </si>
  <si>
    <t>Cost of the project</t>
  </si>
  <si>
    <t>Particulars</t>
  </si>
  <si>
    <t>Total</t>
  </si>
  <si>
    <t>COST OF THE PROJECT AND MEANS OF FINANCE</t>
  </si>
  <si>
    <t>CASH - FLOW STATEMENT</t>
  </si>
  <si>
    <t>Means of Finance</t>
  </si>
  <si>
    <t>A N N E X U R E S</t>
  </si>
  <si>
    <t>DEPRECIATION SCHEDULE</t>
  </si>
  <si>
    <t>BREAK EVEN ANALYSIS</t>
  </si>
  <si>
    <t xml:space="preserve">INTEREST SCHEDULE </t>
  </si>
  <si>
    <t>DEBT COVERAGE RATIO</t>
  </si>
  <si>
    <t>ANALYSIS ON RETURN ON INVESTMENT</t>
  </si>
  <si>
    <t xml:space="preserve"> ANNEXURE NO.2</t>
  </si>
  <si>
    <t xml:space="preserve"> ANNEXURE NO.4</t>
  </si>
  <si>
    <t xml:space="preserve"> ANNEXURE NO.5</t>
  </si>
  <si>
    <t>DEPRECIATION SCHEDULE:</t>
  </si>
  <si>
    <t xml:space="preserve"> BREAK-EVEN ANALYSIS</t>
  </si>
  <si>
    <t>ANALYSIS OF RETURN ON INVESTMENT :</t>
  </si>
  <si>
    <t>OPENING</t>
  </si>
  <si>
    <t>CLOSING</t>
  </si>
  <si>
    <t>INTEREST</t>
  </si>
  <si>
    <t>BALANCE</t>
  </si>
  <si>
    <t>REPAYMENT</t>
  </si>
  <si>
    <t xml:space="preserve">      Profit after tax</t>
  </si>
  <si>
    <t xml:space="preserve">      Depreciation</t>
  </si>
  <si>
    <t>RETURN ON INVESTMENT  :</t>
  </si>
  <si>
    <t>STATEMENT NO. 1</t>
  </si>
  <si>
    <t>COST OF THE PROJECT AND MEANS OF FINANCE:</t>
  </si>
  <si>
    <t xml:space="preserve">      Term loan installment </t>
  </si>
  <si>
    <t>Brief details of the project cost is given below</t>
  </si>
  <si>
    <t>Total Depreciation</t>
  </si>
  <si>
    <t>E.  Contribution [ B - C ]</t>
  </si>
  <si>
    <t>F.  P.V.Ratio [ E/B x 100 ]</t>
  </si>
  <si>
    <t>G.  Break - even [ Value ]</t>
  </si>
  <si>
    <t xml:space="preserve">      [ D / F x 100 ]</t>
  </si>
  <si>
    <t>NOTE :</t>
  </si>
  <si>
    <t xml:space="preserve">     </t>
  </si>
  <si>
    <t>The project cost has been estimated at Rs.</t>
  </si>
  <si>
    <t>%</t>
  </si>
  <si>
    <t>STATEMENT No.4</t>
  </si>
  <si>
    <t>L. Repayment of Term Loan</t>
  </si>
  <si>
    <t>BALANCE SHEET</t>
  </si>
  <si>
    <t xml:space="preserve">    TOTAL</t>
  </si>
  <si>
    <t>3.   Capital Employed            =</t>
  </si>
  <si>
    <t xml:space="preserve">    Capital Employed</t>
  </si>
  <si>
    <t>Profit before tax + Depreciation + Interest on term loan</t>
  </si>
  <si>
    <t>DEBT SERVICE COVERAGE RATIO :</t>
  </si>
  <si>
    <t xml:space="preserve">C   Debt Service Coverage Ratio </t>
  </si>
  <si>
    <t xml:space="preserve"> ANNEXURE NO.1</t>
  </si>
  <si>
    <t xml:space="preserve">     [ Without Depreciation]</t>
  </si>
  <si>
    <t>Total Assets</t>
  </si>
  <si>
    <t xml:space="preserve">      TOTAL OF ' B '</t>
  </si>
  <si>
    <t xml:space="preserve">    Promoters Contribution</t>
  </si>
  <si>
    <t xml:space="preserve">    WDV</t>
  </si>
  <si>
    <t>Prepared by:</t>
  </si>
  <si>
    <t xml:space="preserve">INTEREST SCHEDULE : </t>
  </si>
  <si>
    <t>I.   Depreciation added back</t>
  </si>
  <si>
    <t>H. Profit after Tax (  F-G )</t>
  </si>
  <si>
    <t xml:space="preserve">      DSCR        [ A / B ]</t>
  </si>
  <si>
    <t xml:space="preserve">    Depreciation @ 15%</t>
  </si>
  <si>
    <t xml:space="preserve">      Repayment of loan</t>
  </si>
  <si>
    <t>D   Average DSCR</t>
  </si>
  <si>
    <t xml:space="preserve">      TOTAL OF ' A '</t>
  </si>
  <si>
    <t xml:space="preserve">#  Average Return        </t>
  </si>
  <si>
    <t xml:space="preserve">#  Capital Employed   </t>
  </si>
  <si>
    <t xml:space="preserve">    Capital Account</t>
  </si>
  <si>
    <t xml:space="preserve">    Reserves &amp; Surplus</t>
  </si>
  <si>
    <t xml:space="preserve">     Fixed Assets</t>
  </si>
  <si>
    <t xml:space="preserve">     Cash &amp; Bank</t>
  </si>
  <si>
    <t xml:space="preserve">     Administration Expenses</t>
  </si>
  <si>
    <t>H.  Cash Break Even</t>
  </si>
  <si>
    <t>M.  Net Cash A'ble   (J - K))</t>
  </si>
  <si>
    <t xml:space="preserve"> ANNEXURE NO.3</t>
  </si>
  <si>
    <t>O P E R T I N G  Y E A R S</t>
  </si>
  <si>
    <t xml:space="preserve">  Average Return  x 100</t>
  </si>
  <si>
    <t xml:space="preserve">#  Return on Investment   </t>
  </si>
  <si>
    <t>Operating years</t>
  </si>
  <si>
    <t>Operating Years</t>
  </si>
  <si>
    <t>WDV at the year end</t>
  </si>
  <si>
    <t>A.  Receipts</t>
  </si>
  <si>
    <t>Years</t>
  </si>
  <si>
    <r>
      <t xml:space="preserve">A.   </t>
    </r>
    <r>
      <rPr>
        <b/>
        <sz val="11"/>
        <rFont val="Times New Roman"/>
        <family val="1"/>
      </rPr>
      <t>SOURCES</t>
    </r>
    <r>
      <rPr>
        <sz val="11"/>
        <rFont val="Times New Roman"/>
        <family val="1"/>
      </rPr>
      <t xml:space="preserve"> :</t>
    </r>
  </si>
  <si>
    <r>
      <t xml:space="preserve">B    </t>
    </r>
    <r>
      <rPr>
        <b/>
        <sz val="11"/>
        <rFont val="Times New Roman"/>
        <family val="1"/>
      </rPr>
      <t>DEBT</t>
    </r>
    <r>
      <rPr>
        <sz val="11"/>
        <rFont val="Times New Roman"/>
        <family val="1"/>
      </rPr>
      <t xml:space="preserve"> :</t>
    </r>
  </si>
  <si>
    <r>
      <t xml:space="preserve">B.  </t>
    </r>
    <r>
      <rPr>
        <b/>
        <sz val="11"/>
        <rFont val="Times New Roman"/>
        <family val="1"/>
      </rPr>
      <t>Variable cost</t>
    </r>
    <r>
      <rPr>
        <sz val="11"/>
        <rFont val="Times New Roman"/>
        <family val="1"/>
      </rPr>
      <t>:</t>
    </r>
  </si>
  <si>
    <r>
      <t xml:space="preserve">D.  </t>
    </r>
    <r>
      <rPr>
        <b/>
        <sz val="11"/>
        <rFont val="Times New Roman"/>
        <family val="1"/>
      </rPr>
      <t>Fixed costs:</t>
    </r>
  </si>
  <si>
    <r>
      <t>A. LIABILITIES</t>
    </r>
    <r>
      <rPr>
        <b/>
        <u/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:</t>
    </r>
  </si>
  <si>
    <r>
      <t xml:space="preserve">B.  </t>
    </r>
    <r>
      <rPr>
        <b/>
        <u/>
        <sz val="11"/>
        <rFont val="Times New Roman"/>
        <family val="1"/>
      </rPr>
      <t xml:space="preserve">ASSETS </t>
    </r>
    <r>
      <rPr>
        <b/>
        <sz val="11"/>
        <rFont val="Times New Roman"/>
        <family val="1"/>
      </rPr>
      <t>:</t>
    </r>
  </si>
  <si>
    <r>
      <t xml:space="preserve">A. </t>
    </r>
    <r>
      <rPr>
        <b/>
        <u/>
        <sz val="11"/>
        <rFont val="Times New Roman"/>
        <family val="1"/>
      </rPr>
      <t xml:space="preserve">Source of Funds </t>
    </r>
    <r>
      <rPr>
        <b/>
        <sz val="11"/>
        <rFont val="Times New Roman"/>
        <family val="1"/>
      </rPr>
      <t>:</t>
    </r>
  </si>
  <si>
    <r>
      <t xml:space="preserve">B.  </t>
    </r>
    <r>
      <rPr>
        <b/>
        <u/>
        <sz val="11"/>
        <rFont val="Times New Roman"/>
        <family val="1"/>
      </rPr>
      <t xml:space="preserve">Application of Funds </t>
    </r>
    <r>
      <rPr>
        <b/>
        <sz val="11"/>
        <rFont val="Times New Roman"/>
        <family val="1"/>
      </rPr>
      <t>:</t>
    </r>
  </si>
  <si>
    <r>
      <t xml:space="preserve"> A.</t>
    </r>
    <r>
      <rPr>
        <b/>
        <sz val="11"/>
        <rFont val="Times New Roman"/>
        <family val="1"/>
      </rPr>
      <t>INCOME</t>
    </r>
    <r>
      <rPr>
        <sz val="11"/>
        <rFont val="Times New Roman"/>
        <family val="1"/>
      </rPr>
      <t>:</t>
    </r>
  </si>
  <si>
    <r>
      <t xml:space="preserve">B. </t>
    </r>
    <r>
      <rPr>
        <b/>
        <sz val="11"/>
        <rFont val="Times New Roman"/>
        <family val="1"/>
      </rPr>
      <t>EXPENSES:</t>
    </r>
  </si>
  <si>
    <t>1. Return on Investment       =</t>
  </si>
  <si>
    <t xml:space="preserve">2.   Return                                 = </t>
  </si>
  <si>
    <t>Brought to you by
KnowyourGST.com
Visit KnowyourGST.com for
Indian Tax Law
GST Billing Software
Professionals Listing
Job Search</t>
  </si>
  <si>
    <t>Income from Sale Activities</t>
  </si>
  <si>
    <t>Chartered Accountants</t>
  </si>
  <si>
    <t>FINANCIAL INDICATERS</t>
  </si>
  <si>
    <t xml:space="preserve"> ANNEXURE NO.6</t>
  </si>
  <si>
    <t>C. Debt Equity Ratio</t>
  </si>
  <si>
    <t>E.  Gross Profit</t>
  </si>
  <si>
    <t>F.  Net  Profit</t>
  </si>
  <si>
    <t>H.  N.P.Ratio [ F/D x 100 ]</t>
  </si>
  <si>
    <t>G.  G.P.Ratio [ E/D x 100 ]</t>
  </si>
  <si>
    <t>A.  Shareholder Equity</t>
  </si>
  <si>
    <t>B.  Total Liabilities</t>
  </si>
  <si>
    <t>D.  Sales</t>
  </si>
  <si>
    <t>STATEMENT NO.3</t>
  </si>
  <si>
    <t>STATEMENT No.5</t>
  </si>
  <si>
    <t>OF</t>
  </si>
  <si>
    <t>PROPRIETOR'S NAME</t>
  </si>
  <si>
    <t>UNIT ADDRESS</t>
  </si>
  <si>
    <r>
      <rPr>
        <sz val="11.5"/>
        <rFont val="Times New Roman"/>
        <family val="1"/>
      </rPr>
      <t>TOTAL COST OF THE PROJECT</t>
    </r>
  </si>
  <si>
    <r>
      <rPr>
        <sz val="11.5"/>
        <rFont val="Times New Roman"/>
        <family val="1"/>
      </rPr>
      <t>AMOUNT OF BANK LOAN</t>
    </r>
  </si>
  <si>
    <t>Sl. No</t>
  </si>
  <si>
    <t>INSTALLMENT</t>
  </si>
  <si>
    <t>PRINCIPAL</t>
  </si>
  <si>
    <t>AMOUNT</t>
  </si>
  <si>
    <t>PER MONTH</t>
  </si>
  <si>
    <t>BEGENING</t>
  </si>
  <si>
    <t>OF MONTH</t>
  </si>
  <si>
    <t>STATEMENT NO. 2</t>
  </si>
  <si>
    <t>DETAILED PROJECT REPORT</t>
  </si>
  <si>
    <t xml:space="preserve">PROJECT AT GLANCE </t>
  </si>
  <si>
    <t>ACTIVITY OF THE PROJECT</t>
  </si>
  <si>
    <t>MOBILE</t>
  </si>
  <si>
    <t>PROPRIETORSHIP</t>
  </si>
  <si>
    <t>CONSTITUTION</t>
  </si>
  <si>
    <t>PROMOTER'S CONTRIBUTION</t>
  </si>
  <si>
    <t>Machinery &amp; Equipments</t>
  </si>
  <si>
    <t xml:space="preserve">    Depreciation @ 10%</t>
  </si>
  <si>
    <t xml:space="preserve">       Cost of the project</t>
  </si>
  <si>
    <t>ASSUMPTIONS</t>
  </si>
  <si>
    <t>Construction</t>
  </si>
  <si>
    <t>Working Capital</t>
  </si>
  <si>
    <t>Margin</t>
  </si>
  <si>
    <t>TRADE NAME</t>
  </si>
  <si>
    <t>PAN</t>
  </si>
  <si>
    <t>TYPE OF THE PROJECT</t>
  </si>
  <si>
    <t>GOVERNMENT SUBSIDY</t>
  </si>
  <si>
    <t xml:space="preserve">    Loan from Bank</t>
  </si>
  <si>
    <t>Working Capital from Bank</t>
  </si>
  <si>
    <t>Assumption and workings notes to the Financial Statements of the Project Report:</t>
  </si>
  <si>
    <t>Salary</t>
  </si>
  <si>
    <t>S.No.</t>
  </si>
  <si>
    <t>Category of Employee</t>
  </si>
  <si>
    <t>No.of</t>
  </si>
  <si>
    <t>Salary per</t>
  </si>
  <si>
    <t>Employees</t>
  </si>
  <si>
    <t>Month</t>
  </si>
  <si>
    <t>Annuam</t>
  </si>
  <si>
    <t>Note: Increament in salary is taken at 10% per annum</t>
  </si>
  <si>
    <t>Power</t>
  </si>
  <si>
    <t>in rates @ 5% per annuam</t>
  </si>
  <si>
    <t>Depreciation:</t>
  </si>
  <si>
    <t>Depreciation is calculated at the rates prescribed under</t>
  </si>
  <si>
    <t>the Income Tax Act. Separate Annexure made</t>
  </si>
  <si>
    <t>Interest:</t>
  </si>
  <si>
    <t>Selling and Administration Expenses:</t>
  </si>
  <si>
    <t>Selling expenses includes sales commission, Post &amp; Telephone expenses and other</t>
  </si>
  <si>
    <t>Office maintenance expenses.</t>
  </si>
  <si>
    <t>at 10% per annuam</t>
  </si>
  <si>
    <t>ANNEXURE NO.7</t>
  </si>
  <si>
    <t>SKILLED</t>
  </si>
  <si>
    <t>UNSKILLED</t>
  </si>
  <si>
    <t>Proprietor's Contribution- Working Capital</t>
  </si>
  <si>
    <t>E.  Selling  &amp; Marketing Exp.</t>
  </si>
  <si>
    <t xml:space="preserve">    Subsidy from Government</t>
  </si>
  <si>
    <t>To Whomsoever It May Concernd</t>
  </si>
  <si>
    <t>Since these are projections and not actual figures we do not express any opinion on</t>
  </si>
  <si>
    <t>these projections. The limitation of projections shall be applied by the reader of</t>
  </si>
  <si>
    <t>these report / projections. This certificate had been issued to certify that we had only</t>
  </si>
  <si>
    <t>prepared / compiled the projections exercising due care to consider the present trend</t>
  </si>
  <si>
    <t>and normal practice and in accordance with the rules set by the statutory authorities.</t>
  </si>
  <si>
    <t>The project report had been prepared to be submitted before financial institutions for</t>
  </si>
  <si>
    <t>establishing financial viability of the project and should be utilized with due caution.</t>
  </si>
  <si>
    <t>SCHEME OF THE PROJECT</t>
  </si>
  <si>
    <t xml:space="preserve">    Secured Loan- Term Loan</t>
  </si>
  <si>
    <t>D.  Interest:</t>
  </si>
  <si>
    <t xml:space="preserve">      Interest: on Term Loan</t>
  </si>
  <si>
    <t xml:space="preserve">       Interest: on Loan</t>
  </si>
  <si>
    <t xml:space="preserve">     Interest on Loan</t>
  </si>
  <si>
    <t xml:space="preserve">      Interest on Loan</t>
  </si>
  <si>
    <t>Interest on Loan</t>
  </si>
  <si>
    <t>I. Total Current Assets</t>
  </si>
  <si>
    <t>J. Total Current Liabilities</t>
  </si>
  <si>
    <t>DEBT EQUITY RATIO</t>
  </si>
  <si>
    <t>:1</t>
  </si>
  <si>
    <t>GROSS PROFIT RATIO</t>
  </si>
  <si>
    <t xml:space="preserve"> First Year Operation.</t>
  </si>
  <si>
    <t>NET PROFIT RATIO</t>
  </si>
  <si>
    <t>RETURN ON INVESTMENT</t>
  </si>
  <si>
    <t>Term loan will be repaid in 5 year</t>
  </si>
  <si>
    <t>K.Current Ratio</t>
  </si>
  <si>
    <t>FATHER'S NAME</t>
  </si>
  <si>
    <t>It is estimated at Rs. 50,000/- per year and provision made for increase in cost</t>
  </si>
  <si>
    <t>AADHAR</t>
  </si>
  <si>
    <t xml:space="preserve">      Interest: on CC</t>
  </si>
  <si>
    <t>Furniture &amp; Fittings</t>
  </si>
  <si>
    <t xml:space="preserve">     Current Assets</t>
  </si>
  <si>
    <t>Interest on Term Loan is calculated at 11.00% per annum liquidated in  60 Months</t>
  </si>
  <si>
    <t>normal practice and in accordance with the rules set by relevant statutory authorities.</t>
  </si>
  <si>
    <t>Interest on term loan is calculated at 11.00% per annum</t>
  </si>
  <si>
    <t>Fuel &amp; Power Charges is estimated at Rs.5000/- per month and provision made for increase</t>
  </si>
  <si>
    <t>ACH &amp; ASSOCIATES</t>
  </si>
  <si>
    <t xml:space="preserve"> has been prepared by us in accordance with the accepted trend, </t>
  </si>
  <si>
    <t>Place : Mumbai</t>
  </si>
  <si>
    <t>Date : 25-04-2025</t>
  </si>
  <si>
    <t>MR.MURAR JI YADAV</t>
  </si>
  <si>
    <t>RAJATALAB, BHIBHARIPUR VARANASI UP- 221311</t>
  </si>
  <si>
    <t>ASIPY5985C</t>
  </si>
  <si>
    <t>3316-9177-8268</t>
  </si>
  <si>
    <t>PURCHASE OF COMMERCIAL PLANT / VEHICLES</t>
  </si>
  <si>
    <t>EXTRACTION OF SOIL &amp; CRUX MATERIALS</t>
  </si>
  <si>
    <t xml:space="preserve"> COMMERCIAL LOAN</t>
  </si>
  <si>
    <t>Machine</t>
  </si>
  <si>
    <t>Loan from Bank</t>
  </si>
  <si>
    <t>Driver Salary</t>
  </si>
  <si>
    <t>Insurance &amp; Taxes</t>
  </si>
  <si>
    <t>Cost of Operations</t>
  </si>
  <si>
    <t>Power &amp; Fuel</t>
  </si>
  <si>
    <t>Interest on Vehicals Loan</t>
  </si>
  <si>
    <t>Repair &amp; maintenance</t>
  </si>
  <si>
    <t>Toll tax</t>
  </si>
  <si>
    <t>Mobile &amp; Internet charges</t>
  </si>
  <si>
    <t>Operator charges</t>
  </si>
  <si>
    <t>Previous contribution</t>
  </si>
  <si>
    <t>Proprietor's Contribution</t>
  </si>
  <si>
    <t xml:space="preserve">    Current Liabilities</t>
  </si>
  <si>
    <t xml:space="preserve">     Drawings</t>
  </si>
  <si>
    <t>E. Drawings</t>
  </si>
  <si>
    <t>F.  Closing Balance</t>
  </si>
  <si>
    <t>Ayan Sharma</t>
  </si>
  <si>
    <t xml:space="preserve"> Shriya Shetty</t>
  </si>
  <si>
    <t>This is to certify that the attached financial projections for AYAN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</si>
</sst>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₹&quot;\ #,##0.00;[Red]&quot;₹&quot;\ \-#,##0.00"/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31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u/>
      <sz val="11"/>
      <name val="Times New Roman"/>
      <family val="1"/>
    </font>
    <font>
      <sz val="10"/>
      <color indexed="8"/>
      <name val="Times New Roman"/>
      <family val="1"/>
    </font>
    <font>
      <u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sz val="16"/>
      <color theme="0"/>
      <name val="Arial"/>
      <family val="2"/>
    </font>
    <font>
      <sz val="26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4"/>
      <color indexed="8"/>
      <name val="Times New Roman"/>
      <family val="1"/>
    </font>
    <font>
      <b/>
      <i/>
      <sz val="11"/>
      <name val="Arial"/>
      <family val="2"/>
    </font>
    <font>
      <b/>
      <sz val="11"/>
      <color indexed="8"/>
      <name val="Times New Roman"/>
      <family val="1"/>
    </font>
    <font>
      <sz val="11.5"/>
      <name val="Times New Roman"/>
      <family val="1"/>
    </font>
    <font>
      <b/>
      <sz val="11.5"/>
      <name val="Times New Roman"/>
      <family val="1"/>
    </font>
    <font>
      <b/>
      <i/>
      <sz val="16"/>
      <color indexed="8"/>
      <name val="Times New Roman"/>
      <family val="1"/>
    </font>
    <font>
      <sz val="12"/>
      <color rgb="FF34495E"/>
      <name val="Lato"/>
      <family val="2"/>
    </font>
    <font>
      <b/>
      <i/>
      <sz val="11"/>
      <name val="Times New Roman"/>
      <family val="1"/>
    </font>
    <font>
      <sz val="22"/>
      <color indexed="8"/>
      <name val="Times New Roman"/>
      <family val="1"/>
    </font>
    <font>
      <sz val="18"/>
      <color indexed="8"/>
      <name val="Times New Roman"/>
      <family val="1"/>
    </font>
    <font>
      <b/>
      <u/>
      <sz val="16"/>
      <color indexed="8"/>
      <name val="Times New Roman"/>
      <family val="1"/>
    </font>
    <font>
      <b/>
      <sz val="10.8"/>
      <name val="Times New Roman"/>
      <family val="1"/>
    </font>
    <font>
      <sz val="12"/>
      <color theme="1"/>
      <name val="Cambria"/>
      <family val="1"/>
      <scheme val="major"/>
    </font>
    <font>
      <sz val="1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164" fontId="1" fillId="0" borderId="0" applyFont="0" applyFill="0" applyBorder="0" applyAlignment="0" applyProtection="0"/>
  </cellStyleXfs>
  <cellXfs count="225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1" applyFont="1" applyAlignment="1">
      <alignment horizontal="center"/>
    </xf>
    <xf numFmtId="0" fontId="3" fillId="0" borderId="0" xfId="0" applyFont="1" applyAlignment="1">
      <alignment horizontal="left"/>
    </xf>
    <xf numFmtId="164" fontId="4" fillId="0" borderId="0" xfId="1" applyFont="1" applyAlignment="1">
      <alignment horizontal="left"/>
    </xf>
    <xf numFmtId="0" fontId="4" fillId="0" borderId="2" xfId="0" applyFont="1" applyBorder="1" applyAlignment="1">
      <alignment horizontal="center"/>
    </xf>
    <xf numFmtId="164" fontId="4" fillId="0" borderId="3" xfId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164" fontId="4" fillId="0" borderId="0" xfId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64" fontId="4" fillId="0" borderId="6" xfId="1" applyFont="1" applyBorder="1" applyAlignment="1">
      <alignment horizontal="right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64" fontId="4" fillId="0" borderId="6" xfId="1" applyFont="1" applyBorder="1" applyAlignment="1">
      <alignment horizontal="center"/>
    </xf>
    <xf numFmtId="164" fontId="4" fillId="0" borderId="0" xfId="0" applyNumberFormat="1" applyFont="1"/>
    <xf numFmtId="0" fontId="5" fillId="0" borderId="0" xfId="0" applyFont="1"/>
    <xf numFmtId="0" fontId="4" fillId="0" borderId="0" xfId="0" applyFont="1" applyAlignment="1">
      <alignment horizontal="right"/>
    </xf>
    <xf numFmtId="0" fontId="4" fillId="0" borderId="5" xfId="0" applyFon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1" xfId="0" applyFont="1" applyBorder="1"/>
    <xf numFmtId="0" fontId="4" fillId="0" borderId="9" xfId="0" applyFont="1" applyBorder="1"/>
    <xf numFmtId="164" fontId="4" fillId="0" borderId="3" xfId="1" applyFont="1" applyBorder="1"/>
    <xf numFmtId="164" fontId="4" fillId="0" borderId="0" xfId="1" applyFont="1" applyBorder="1"/>
    <xf numFmtId="0" fontId="4" fillId="0" borderId="12" xfId="0" applyFont="1" applyBorder="1" applyAlignment="1">
      <alignment horizontal="center"/>
    </xf>
    <xf numFmtId="164" fontId="4" fillId="0" borderId="12" xfId="1" applyFont="1" applyBorder="1" applyAlignment="1">
      <alignment horizontal="center"/>
    </xf>
    <xf numFmtId="0" fontId="4" fillId="0" borderId="4" xfId="0" applyFont="1" applyBorder="1"/>
    <xf numFmtId="0" fontId="4" fillId="0" borderId="11" xfId="0" applyFont="1" applyBorder="1"/>
    <xf numFmtId="0" fontId="4" fillId="0" borderId="7" xfId="0" applyFont="1" applyBorder="1"/>
    <xf numFmtId="0" fontId="4" fillId="0" borderId="8" xfId="0" applyFont="1" applyBorder="1"/>
    <xf numFmtId="164" fontId="4" fillId="0" borderId="2" xfId="1" applyFont="1" applyBorder="1"/>
    <xf numFmtId="164" fontId="4" fillId="0" borderId="6" xfId="1" applyFont="1" applyBorder="1"/>
    <xf numFmtId="164" fontId="4" fillId="0" borderId="8" xfId="1" applyFont="1" applyBorder="1"/>
    <xf numFmtId="164" fontId="4" fillId="0" borderId="12" xfId="1" applyFont="1" applyBorder="1"/>
    <xf numFmtId="0" fontId="4" fillId="0" borderId="10" xfId="0" applyFont="1" applyBorder="1"/>
    <xf numFmtId="164" fontId="4" fillId="0" borderId="1" xfId="1" applyFont="1" applyBorder="1"/>
    <xf numFmtId="164" fontId="4" fillId="0" borderId="4" xfId="1" applyFont="1" applyBorder="1"/>
    <xf numFmtId="164" fontId="4" fillId="0" borderId="5" xfId="1" applyFont="1" applyBorder="1"/>
    <xf numFmtId="164" fontId="4" fillId="0" borderId="9" xfId="1" applyFont="1" applyBorder="1"/>
    <xf numFmtId="164" fontId="4" fillId="0" borderId="7" xfId="1" applyFont="1" applyBorder="1"/>
    <xf numFmtId="0" fontId="4" fillId="0" borderId="2" xfId="0" applyFont="1" applyBorder="1"/>
    <xf numFmtId="0" fontId="4" fillId="0" borderId="6" xfId="0" applyFont="1" applyBorder="1"/>
    <xf numFmtId="164" fontId="4" fillId="0" borderId="5" xfId="1" applyFont="1" applyBorder="1" applyAlignment="1">
      <alignment horizontal="center"/>
    </xf>
    <xf numFmtId="164" fontId="4" fillId="0" borderId="14" xfId="1" applyFont="1" applyBorder="1"/>
    <xf numFmtId="164" fontId="4" fillId="0" borderId="10" xfId="1" applyFont="1" applyBorder="1"/>
    <xf numFmtId="2" fontId="4" fillId="0" borderId="12" xfId="0" applyNumberFormat="1" applyFont="1" applyBorder="1"/>
    <xf numFmtId="2" fontId="4" fillId="0" borderId="6" xfId="0" applyNumberFormat="1" applyFont="1" applyBorder="1"/>
    <xf numFmtId="2" fontId="4" fillId="0" borderId="0" xfId="0" applyNumberFormat="1" applyFont="1"/>
    <xf numFmtId="2" fontId="4" fillId="0" borderId="8" xfId="0" applyNumberFormat="1" applyFont="1" applyBorder="1"/>
    <xf numFmtId="164" fontId="4" fillId="0" borderId="8" xfId="1" applyFont="1" applyBorder="1" applyAlignment="1">
      <alignment horizontal="center"/>
    </xf>
    <xf numFmtId="164" fontId="3" fillId="0" borderId="0" xfId="1" applyFont="1"/>
    <xf numFmtId="164" fontId="4" fillId="0" borderId="0" xfId="1" applyFont="1"/>
    <xf numFmtId="164" fontId="6" fillId="0" borderId="0" xfId="1" applyFont="1"/>
    <xf numFmtId="37" fontId="4" fillId="0" borderId="0" xfId="1" applyNumberFormat="1" applyFont="1"/>
    <xf numFmtId="164" fontId="3" fillId="0" borderId="5" xfId="1" applyFont="1" applyBorder="1"/>
    <xf numFmtId="164" fontId="4" fillId="0" borderId="11" xfId="1" applyFont="1" applyBorder="1"/>
    <xf numFmtId="164" fontId="3" fillId="0" borderId="6" xfId="1" applyFont="1" applyBorder="1"/>
    <xf numFmtId="164" fontId="4" fillId="0" borderId="13" xfId="1" applyFont="1" applyBorder="1"/>
    <xf numFmtId="164" fontId="4" fillId="0" borderId="15" xfId="1" applyFont="1" applyBorder="1"/>
    <xf numFmtId="37" fontId="4" fillId="0" borderId="0" xfId="1" applyNumberFormat="1" applyFont="1" applyAlignment="1">
      <alignment horizontal="center"/>
    </xf>
    <xf numFmtId="164" fontId="4" fillId="0" borderId="12" xfId="1" applyFont="1" applyBorder="1" applyAlignment="1">
      <alignment horizontal="right"/>
    </xf>
    <xf numFmtId="9" fontId="4" fillId="0" borderId="0" xfId="0" applyNumberFormat="1" applyFont="1"/>
    <xf numFmtId="164" fontId="4" fillId="0" borderId="9" xfId="1" applyFont="1" applyBorder="1" applyAlignment="1">
      <alignment horizontal="right"/>
    </xf>
    <xf numFmtId="164" fontId="4" fillId="0" borderId="14" xfId="1" applyFont="1" applyBorder="1" applyAlignment="1">
      <alignment horizontal="right"/>
    </xf>
    <xf numFmtId="164" fontId="4" fillId="0" borderId="5" xfId="1" applyFont="1" applyBorder="1" applyAlignment="1">
      <alignment horizontal="right"/>
    </xf>
    <xf numFmtId="164" fontId="4" fillId="0" borderId="6" xfId="1" applyFont="1" applyBorder="1" applyAlignment="1"/>
    <xf numFmtId="39" fontId="3" fillId="0" borderId="0" xfId="1" applyNumberFormat="1" applyFont="1" applyAlignment="1">
      <alignment horizontal="right"/>
    </xf>
    <xf numFmtId="0" fontId="3" fillId="0" borderId="1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43" fontId="4" fillId="0" borderId="0" xfId="0" applyNumberFormat="1" applyFont="1"/>
    <xf numFmtId="43" fontId="4" fillId="0" borderId="6" xfId="0" applyNumberFormat="1" applyFont="1" applyBorder="1"/>
    <xf numFmtId="164" fontId="3" fillId="0" borderId="0" xfId="0" applyNumberFormat="1" applyFont="1" applyAlignment="1">
      <alignment horizontal="center"/>
    </xf>
    <xf numFmtId="43" fontId="4" fillId="0" borderId="12" xfId="0" applyNumberFormat="1" applyFont="1" applyBorder="1"/>
    <xf numFmtId="164" fontId="4" fillId="0" borderId="0" xfId="0" quotePrefix="1" applyNumberFormat="1" applyFont="1"/>
    <xf numFmtId="164" fontId="3" fillId="0" borderId="0" xfId="1" applyFont="1" applyAlignment="1">
      <alignment horizontal="center"/>
    </xf>
    <xf numFmtId="47" fontId="4" fillId="0" borderId="0" xfId="0" applyNumberFormat="1" applyFont="1"/>
    <xf numFmtId="165" fontId="3" fillId="0" borderId="0" xfId="1" applyNumberFormat="1" applyFont="1" applyAlignment="1">
      <alignment horizontal="right"/>
    </xf>
    <xf numFmtId="164" fontId="4" fillId="0" borderId="0" xfId="0" applyNumberFormat="1" applyFont="1" applyAlignment="1">
      <alignment horizontal="left"/>
    </xf>
    <xf numFmtId="1" fontId="4" fillId="0" borderId="0" xfId="0" applyNumberFormat="1" applyFont="1"/>
    <xf numFmtId="0" fontId="3" fillId="0" borderId="4" xfId="0" applyFont="1" applyBorder="1" applyAlignment="1">
      <alignment horizontal="left"/>
    </xf>
    <xf numFmtId="1" fontId="4" fillId="0" borderId="4" xfId="0" applyNumberFormat="1" applyFont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" fontId="4" fillId="0" borderId="7" xfId="0" applyNumberFormat="1" applyFont="1" applyBorder="1" applyAlignment="1">
      <alignment horizontal="center"/>
    </xf>
    <xf numFmtId="164" fontId="3" fillId="0" borderId="0" xfId="0" applyNumberFormat="1" applyFont="1"/>
    <xf numFmtId="0" fontId="8" fillId="0" borderId="0" xfId="0" applyFont="1"/>
    <xf numFmtId="0" fontId="9" fillId="0" borderId="0" xfId="0" applyFont="1" applyAlignment="1">
      <alignment horizontal="left"/>
    </xf>
    <xf numFmtId="0" fontId="11" fillId="0" borderId="0" xfId="0" applyFont="1"/>
    <xf numFmtId="0" fontId="8" fillId="0" borderId="0" xfId="0" applyFont="1" applyAlignment="1">
      <alignment horizontal="left"/>
    </xf>
    <xf numFmtId="0" fontId="10" fillId="0" borderId="0" xfId="0" applyFont="1"/>
    <xf numFmtId="0" fontId="4" fillId="0" borderId="5" xfId="0" applyFont="1" applyBorder="1" applyAlignment="1">
      <alignment horizontal="left" indent="1"/>
    </xf>
    <xf numFmtId="164" fontId="3" fillId="0" borderId="0" xfId="1" applyFont="1" applyAlignment="1">
      <alignment horizontal="left"/>
    </xf>
    <xf numFmtId="164" fontId="6" fillId="0" borderId="0" xfId="1" applyFont="1" applyAlignment="1">
      <alignment horizontal="left"/>
    </xf>
    <xf numFmtId="0" fontId="14" fillId="0" borderId="0" xfId="0" applyFont="1"/>
    <xf numFmtId="164" fontId="4" fillId="0" borderId="10" xfId="1" applyFont="1" applyBorder="1" applyAlignment="1">
      <alignment horizontal="center"/>
    </xf>
    <xf numFmtId="164" fontId="4" fillId="0" borderId="6" xfId="0" applyNumberFormat="1" applyFont="1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8" fillId="0" borderId="0" xfId="0" applyFont="1" applyAlignment="1">
      <alignment horizontal="right"/>
    </xf>
    <xf numFmtId="0" fontId="19" fillId="0" borderId="0" xfId="0" applyFont="1"/>
    <xf numFmtId="43" fontId="3" fillId="0" borderId="0" xfId="0" applyNumberFormat="1" applyFont="1"/>
    <xf numFmtId="0" fontId="21" fillId="0" borderId="0" xfId="0" applyFont="1"/>
    <xf numFmtId="0" fontId="4" fillId="0" borderId="6" xfId="1" applyNumberFormat="1" applyFont="1" applyBorder="1" applyAlignment="1">
      <alignment horizontal="center"/>
    </xf>
    <xf numFmtId="0" fontId="4" fillId="0" borderId="10" xfId="1" applyNumberFormat="1" applyFont="1" applyBorder="1" applyAlignment="1">
      <alignment horizontal="center"/>
    </xf>
    <xf numFmtId="164" fontId="4" fillId="0" borderId="4" xfId="1" applyFont="1" applyBorder="1" applyAlignment="1">
      <alignment horizontal="center"/>
    </xf>
    <xf numFmtId="164" fontId="4" fillId="0" borderId="7" xfId="1" applyFont="1" applyBorder="1" applyAlignment="1">
      <alignment horizontal="center"/>
    </xf>
    <xf numFmtId="164" fontId="4" fillId="0" borderId="11" xfId="1" applyFont="1" applyBorder="1" applyAlignment="1">
      <alignment horizontal="center"/>
    </xf>
    <xf numFmtId="0" fontId="20" fillId="0" borderId="0" xfId="0" applyFont="1"/>
    <xf numFmtId="8" fontId="23" fillId="0" borderId="0" xfId="0" applyNumberFormat="1" applyFont="1"/>
    <xf numFmtId="10" fontId="4" fillId="0" borderId="0" xfId="0" applyNumberFormat="1" applyFont="1"/>
    <xf numFmtId="8" fontId="4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0" fontId="18" fillId="0" borderId="0" xfId="0" applyFont="1"/>
    <xf numFmtId="10" fontId="3" fillId="0" borderId="0" xfId="0" applyNumberFormat="1" applyFont="1"/>
    <xf numFmtId="9" fontId="3" fillId="0" borderId="0" xfId="0" applyNumberFormat="1" applyFont="1" applyAlignment="1">
      <alignment horizontal="center"/>
    </xf>
    <xf numFmtId="4" fontId="4" fillId="0" borderId="0" xfId="0" applyNumberFormat="1" applyFont="1"/>
    <xf numFmtId="0" fontId="3" fillId="0" borderId="0" xfId="3" applyFont="1"/>
    <xf numFmtId="0" fontId="4" fillId="0" borderId="0" xfId="3" applyFont="1"/>
    <xf numFmtId="0" fontId="24" fillId="0" borderId="0" xfId="3" applyFont="1"/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right"/>
    </xf>
    <xf numFmtId="0" fontId="4" fillId="0" borderId="3" xfId="3" applyFont="1" applyBorder="1"/>
    <xf numFmtId="0" fontId="4" fillId="0" borderId="5" xfId="3" applyFont="1" applyBorder="1"/>
    <xf numFmtId="0" fontId="4" fillId="0" borderId="0" xfId="3" applyFont="1" applyAlignment="1">
      <alignment horizontal="center"/>
    </xf>
    <xf numFmtId="9" fontId="4" fillId="0" borderId="0" xfId="3" applyNumberFormat="1" applyFont="1" applyAlignment="1">
      <alignment horizontal="left"/>
    </xf>
    <xf numFmtId="0" fontId="3" fillId="0" borderId="0" xfId="3" applyFont="1" applyAlignment="1">
      <alignment horizontal="left"/>
    </xf>
    <xf numFmtId="0" fontId="3" fillId="0" borderId="0" xfId="3" applyFont="1" applyAlignment="1">
      <alignment horizontal="center" vertical="center"/>
    </xf>
    <xf numFmtId="0" fontId="4" fillId="0" borderId="1" xfId="3" applyFont="1" applyBorder="1" applyAlignment="1">
      <alignment horizontal="left"/>
    </xf>
    <xf numFmtId="0" fontId="4" fillId="0" borderId="1" xfId="3" applyFont="1" applyBorder="1"/>
    <xf numFmtId="0" fontId="4" fillId="0" borderId="4" xfId="3" applyFont="1" applyBorder="1" applyAlignment="1">
      <alignment horizontal="center"/>
    </xf>
    <xf numFmtId="0" fontId="4" fillId="0" borderId="2" xfId="3" applyFont="1" applyBorder="1" applyAlignment="1">
      <alignment horizontal="center"/>
    </xf>
    <xf numFmtId="10" fontId="4" fillId="0" borderId="3" xfId="3" applyNumberFormat="1" applyFont="1" applyBorder="1" applyAlignment="1">
      <alignment horizontal="center"/>
    </xf>
    <xf numFmtId="0" fontId="4" fillId="0" borderId="9" xfId="3" applyFont="1" applyBorder="1" applyAlignment="1">
      <alignment horizontal="left"/>
    </xf>
    <xf numFmtId="0" fontId="4" fillId="0" borderId="9" xfId="3" applyFont="1" applyBorder="1"/>
    <xf numFmtId="0" fontId="4" fillId="0" borderId="10" xfId="3" applyFont="1" applyBorder="1" applyAlignment="1">
      <alignment horizontal="center"/>
    </xf>
    <xf numFmtId="10" fontId="4" fillId="0" borderId="11" xfId="3" applyNumberFormat="1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164" fontId="4" fillId="0" borderId="3" xfId="4" applyFont="1" applyBorder="1"/>
    <xf numFmtId="10" fontId="4" fillId="0" borderId="0" xfId="3" applyNumberFormat="1" applyFont="1" applyAlignment="1">
      <alignment horizontal="center"/>
    </xf>
    <xf numFmtId="0" fontId="4" fillId="0" borderId="6" xfId="3" applyFont="1" applyBorder="1" applyAlignment="1">
      <alignment horizontal="center"/>
    </xf>
    <xf numFmtId="164" fontId="4" fillId="0" borderId="0" xfId="4" applyFont="1" applyBorder="1"/>
    <xf numFmtId="0" fontId="4" fillId="0" borderId="12" xfId="3" applyFont="1" applyBorder="1" applyAlignment="1">
      <alignment horizontal="left"/>
    </xf>
    <xf numFmtId="0" fontId="4" fillId="0" borderId="13" xfId="3" applyFont="1" applyBorder="1"/>
    <xf numFmtId="0" fontId="4" fillId="0" borderId="13" xfId="3" applyFont="1" applyBorder="1" applyAlignment="1">
      <alignment horizontal="center"/>
    </xf>
    <xf numFmtId="0" fontId="4" fillId="0" borderId="12" xfId="3" applyFont="1" applyBorder="1" applyAlignment="1">
      <alignment horizontal="center"/>
    </xf>
    <xf numFmtId="164" fontId="4" fillId="0" borderId="12" xfId="4" applyFont="1" applyBorder="1" applyAlignment="1">
      <alignment horizontal="center"/>
    </xf>
    <xf numFmtId="0" fontId="4" fillId="0" borderId="0" xfId="3" applyFont="1" applyAlignment="1">
      <alignment horizontal="left"/>
    </xf>
    <xf numFmtId="2" fontId="4" fillId="0" borderId="3" xfId="3" applyNumberFormat="1" applyFont="1" applyBorder="1" applyAlignment="1">
      <alignment horizontal="left"/>
    </xf>
    <xf numFmtId="0" fontId="4" fillId="0" borderId="4" xfId="3" applyFont="1" applyBorder="1"/>
    <xf numFmtId="0" fontId="4" fillId="0" borderId="11" xfId="3" applyFont="1" applyBorder="1"/>
    <xf numFmtId="0" fontId="4" fillId="0" borderId="11" xfId="3" applyFont="1" applyBorder="1" applyAlignment="1">
      <alignment horizontal="center"/>
    </xf>
    <xf numFmtId="2" fontId="4" fillId="0" borderId="11" xfId="3" applyNumberFormat="1" applyFont="1" applyBorder="1" applyAlignment="1">
      <alignment horizontal="left"/>
    </xf>
    <xf numFmtId="0" fontId="4" fillId="0" borderId="7" xfId="3" applyFont="1" applyBorder="1"/>
    <xf numFmtId="2" fontId="4" fillId="0" borderId="0" xfId="3" applyNumberFormat="1" applyFont="1" applyAlignment="1">
      <alignment horizontal="left"/>
    </xf>
    <xf numFmtId="0" fontId="4" fillId="0" borderId="8" xfId="3" applyFont="1" applyBorder="1"/>
    <xf numFmtId="4" fontId="4" fillId="0" borderId="0" xfId="3" applyNumberFormat="1" applyFont="1"/>
    <xf numFmtId="43" fontId="3" fillId="0" borderId="0" xfId="0" applyNumberFormat="1" applyFont="1" applyAlignment="1">
      <alignment horizontal="center"/>
    </xf>
    <xf numFmtId="0" fontId="25" fillId="0" borderId="0" xfId="0" applyFont="1"/>
    <xf numFmtId="0" fontId="8" fillId="0" borderId="11" xfId="0" applyFont="1" applyBorder="1"/>
    <xf numFmtId="0" fontId="27" fillId="0" borderId="0" xfId="0" applyFont="1"/>
    <xf numFmtId="0" fontId="17" fillId="0" borderId="0" xfId="0" applyFont="1" applyAlignment="1">
      <alignment wrapText="1"/>
    </xf>
    <xf numFmtId="2" fontId="3" fillId="0" borderId="0" xfId="0" applyNumberFormat="1" applyFont="1"/>
    <xf numFmtId="164" fontId="4" fillId="0" borderId="2" xfId="1" applyFont="1" applyBorder="1" applyAlignment="1">
      <alignment horizontal="center"/>
    </xf>
    <xf numFmtId="8" fontId="4" fillId="0" borderId="0" xfId="0" applyNumberFormat="1" applyFont="1"/>
    <xf numFmtId="0" fontId="28" fillId="0" borderId="0" xfId="0" applyFont="1"/>
    <xf numFmtId="0" fontId="7" fillId="0" borderId="6" xfId="0" applyFont="1" applyBorder="1"/>
    <xf numFmtId="164" fontId="4" fillId="0" borderId="6" xfId="1" applyFont="1" applyBorder="1" applyAlignment="1">
      <alignment horizontal="left"/>
    </xf>
    <xf numFmtId="164" fontId="4" fillId="0" borderId="5" xfId="3" applyNumberFormat="1" applyFont="1" applyBorder="1" applyAlignment="1">
      <alignment horizontal="center"/>
    </xf>
    <xf numFmtId="164" fontId="4" fillId="0" borderId="8" xfId="3" applyNumberFormat="1" applyFont="1" applyBorder="1" applyAlignment="1">
      <alignment horizontal="center"/>
    </xf>
    <xf numFmtId="0" fontId="4" fillId="0" borderId="7" xfId="3" applyFont="1" applyBorder="1" applyAlignment="1">
      <alignment horizontal="center"/>
    </xf>
    <xf numFmtId="0" fontId="26" fillId="0" borderId="0" xfId="0" applyFont="1" applyAlignment="1">
      <alignment horizontal="center"/>
    </xf>
    <xf numFmtId="0" fontId="19" fillId="0" borderId="0" xfId="0" quotePrefix="1" applyFont="1" applyAlignment="1">
      <alignment horizontal="left"/>
    </xf>
    <xf numFmtId="0" fontId="29" fillId="0" borderId="0" xfId="0" applyFont="1"/>
    <xf numFmtId="0" fontId="4" fillId="0" borderId="6" xfId="0" applyFont="1" applyBorder="1" applyAlignment="1">
      <alignment vertical="top"/>
    </xf>
    <xf numFmtId="0" fontId="29" fillId="0" borderId="0" xfId="0" applyFont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30" fillId="0" borderId="0" xfId="0" applyFont="1" applyAlignment="1">
      <alignment horizontal="left" vertical="top"/>
    </xf>
    <xf numFmtId="0" fontId="2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12" fillId="2" borderId="0" xfId="2" applyFont="1" applyFill="1" applyAlignment="1" applyProtection="1">
      <alignment horizontal="center" vertical="center" wrapText="1"/>
    </xf>
    <xf numFmtId="0" fontId="12" fillId="2" borderId="0" xfId="2" applyFont="1" applyFill="1" applyAlignment="1" applyProtection="1">
      <alignment horizontal="center" vertical="center"/>
    </xf>
    <xf numFmtId="0" fontId="18" fillId="0" borderId="0" xfId="0" applyFont="1" applyAlignment="1">
      <alignment horizontal="right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37" fontId="4" fillId="0" borderId="2" xfId="1" applyNumberFormat="1" applyFont="1" applyBorder="1" applyAlignment="1">
      <alignment horizontal="center" vertical="center"/>
    </xf>
    <xf numFmtId="37" fontId="4" fillId="0" borderId="10" xfId="1" applyNumberFormat="1" applyFont="1" applyBorder="1" applyAlignment="1">
      <alignment horizontal="center" vertical="center"/>
    </xf>
    <xf numFmtId="164" fontId="4" fillId="0" borderId="14" xfId="1" applyFont="1" applyBorder="1" applyAlignment="1">
      <alignment horizontal="center"/>
    </xf>
    <xf numFmtId="164" fontId="4" fillId="0" borderId="13" xfId="1" applyFont="1" applyBorder="1" applyAlignment="1">
      <alignment horizontal="center"/>
    </xf>
    <xf numFmtId="164" fontId="4" fillId="0" borderId="15" xfId="1" applyFont="1" applyBorder="1" applyAlignment="1">
      <alignment horizontal="center"/>
    </xf>
    <xf numFmtId="37" fontId="4" fillId="0" borderId="1" xfId="1" applyNumberFormat="1" applyFont="1" applyBorder="1" applyAlignment="1">
      <alignment horizontal="center" vertical="center"/>
    </xf>
    <xf numFmtId="37" fontId="4" fillId="0" borderId="9" xfId="1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12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5" xfId="3" applyNumberFormat="1" applyFont="1" applyBorder="1" applyAlignment="1">
      <alignment horizontal="center"/>
    </xf>
    <xf numFmtId="164" fontId="4" fillId="0" borderId="8" xfId="3" applyNumberFormat="1" applyFont="1" applyBorder="1" applyAlignment="1">
      <alignment horizontal="center"/>
    </xf>
    <xf numFmtId="164" fontId="4" fillId="0" borderId="14" xfId="3" applyNumberFormat="1" applyFont="1" applyBorder="1" applyAlignment="1">
      <alignment horizontal="center"/>
    </xf>
    <xf numFmtId="0" fontId="4" fillId="0" borderId="15" xfId="3" applyFont="1" applyBorder="1" applyAlignment="1">
      <alignment horizontal="center"/>
    </xf>
    <xf numFmtId="0" fontId="4" fillId="0" borderId="9" xfId="3" applyFont="1" applyBorder="1" applyAlignment="1">
      <alignment horizontal="center"/>
    </xf>
    <xf numFmtId="0" fontId="4" fillId="0" borderId="7" xfId="3" applyFont="1" applyBorder="1" applyAlignment="1">
      <alignment horizontal="center"/>
    </xf>
    <xf numFmtId="164" fontId="4" fillId="0" borderId="1" xfId="3" applyNumberFormat="1" applyFont="1" applyBorder="1" applyAlignment="1">
      <alignment horizontal="center"/>
    </xf>
    <xf numFmtId="164" fontId="4" fillId="0" borderId="4" xfId="3" applyNumberFormat="1" applyFont="1" applyBorder="1" applyAlignment="1">
      <alignment horizontal="center"/>
    </xf>
    <xf numFmtId="10" fontId="4" fillId="0" borderId="1" xfId="3" applyNumberFormat="1" applyFont="1" applyBorder="1" applyAlignment="1">
      <alignment horizontal="center"/>
    </xf>
    <xf numFmtId="10" fontId="4" fillId="0" borderId="4" xfId="3" applyNumberFormat="1" applyFont="1" applyBorder="1" applyAlignment="1">
      <alignment horizontal="center"/>
    </xf>
  </cellXfs>
  <cellStyles count="5">
    <cellStyle name="Comma" xfId="1" builtinId="3"/>
    <cellStyle name="Comma 2" xfId="4" xr:uid="{00000000-0005-0000-0000-000001000000}"/>
    <cellStyle name="Hyperlink" xfId="2" builtinId="8"/>
    <cellStyle name="Normal" xfId="0" builtinId="0"/>
    <cellStyle name="Normal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9525</xdr:rowOff>
    </xdr:from>
    <xdr:to>
      <xdr:col>2</xdr:col>
      <xdr:colOff>361950</xdr:colOff>
      <xdr:row>5</xdr:row>
      <xdr:rowOff>116896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1AF111-68A2-4431-D48F-B7F2ABAB5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9525"/>
          <a:ext cx="1381125" cy="12408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knowyourgs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opLeftCell="A16" workbookViewId="0">
      <selection sqref="A1:O39"/>
    </sheetView>
  </sheetViews>
  <sheetFormatPr defaultColWidth="0" defaultRowHeight="13.2" zeroHeight="1" x14ac:dyDescent="0.25"/>
  <cols>
    <col min="1" max="15" width="9.109375" customWidth="1"/>
  </cols>
  <sheetData>
    <row r="1" spans="1:15" x14ac:dyDescent="0.25">
      <c r="A1" s="186" t="s">
        <v>121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</row>
    <row r="2" spans="1:15" x14ac:dyDescent="0.25">
      <c r="A2" s="187"/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</row>
    <row r="3" spans="1:15" x14ac:dyDescent="0.25">
      <c r="A3" s="187"/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</row>
    <row r="4" spans="1:15" x14ac:dyDescent="0.25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</row>
    <row r="5" spans="1:15" x14ac:dyDescent="0.25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</row>
    <row r="6" spans="1:15" x14ac:dyDescent="0.25">
      <c r="A6" s="187"/>
      <c r="B6" s="187"/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</row>
    <row r="7" spans="1:15" x14ac:dyDescent="0.25">
      <c r="A7" s="187"/>
      <c r="B7" s="187"/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</row>
    <row r="8" spans="1:15" x14ac:dyDescent="0.25">
      <c r="A8" s="187"/>
      <c r="B8" s="187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</row>
    <row r="9" spans="1:15" x14ac:dyDescent="0.25">
      <c r="A9" s="187"/>
      <c r="B9" s="187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</row>
    <row r="10" spans="1:15" x14ac:dyDescent="0.25">
      <c r="A10" s="187"/>
      <c r="B10" s="187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</row>
    <row r="11" spans="1:15" x14ac:dyDescent="0.25">
      <c r="A11" s="187"/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</row>
    <row r="12" spans="1:15" x14ac:dyDescent="0.25">
      <c r="A12" s="187"/>
      <c r="B12" s="187"/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</row>
    <row r="13" spans="1:15" x14ac:dyDescent="0.25">
      <c r="A13" s="187"/>
      <c r="B13" s="187"/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187"/>
      <c r="O13" s="187"/>
    </row>
    <row r="14" spans="1:15" x14ac:dyDescent="0.25">
      <c r="A14" s="187"/>
      <c r="B14" s="187"/>
      <c r="C14" s="187"/>
      <c r="D14" s="187"/>
      <c r="E14" s="187"/>
      <c r="F14" s="187"/>
      <c r="G14" s="187"/>
      <c r="H14" s="187"/>
      <c r="I14" s="187"/>
      <c r="J14" s="187"/>
      <c r="K14" s="187"/>
      <c r="L14" s="187"/>
      <c r="M14" s="187"/>
      <c r="N14" s="187"/>
      <c r="O14" s="187"/>
    </row>
    <row r="15" spans="1:15" x14ac:dyDescent="0.25">
      <c r="A15" s="187"/>
      <c r="B15" s="187"/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</row>
    <row r="16" spans="1:15" x14ac:dyDescent="0.25">
      <c r="A16" s="187"/>
      <c r="B16" s="187"/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</row>
    <row r="17" spans="1:15" x14ac:dyDescent="0.25">
      <c r="A17" s="187"/>
      <c r="B17" s="187"/>
      <c r="C17" s="187"/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7"/>
    </row>
    <row r="18" spans="1:15" x14ac:dyDescent="0.25">
      <c r="A18" s="187"/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</row>
    <row r="19" spans="1:15" x14ac:dyDescent="0.25">
      <c r="A19" s="187"/>
      <c r="B19" s="187"/>
      <c r="C19" s="187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</row>
    <row r="20" spans="1:15" x14ac:dyDescent="0.25">
      <c r="A20" s="187"/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</row>
    <row r="21" spans="1:15" x14ac:dyDescent="0.25">
      <c r="A21" s="187"/>
      <c r="B21" s="187"/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</row>
    <row r="22" spans="1:15" x14ac:dyDescent="0.25">
      <c r="A22" s="187"/>
      <c r="B22" s="187"/>
      <c r="C22" s="187"/>
      <c r="D22" s="187"/>
      <c r="E22" s="187"/>
      <c r="F22" s="187"/>
      <c r="G22" s="187"/>
      <c r="H22" s="187"/>
      <c r="I22" s="187"/>
      <c r="J22" s="187"/>
      <c r="K22" s="187"/>
      <c r="L22" s="187"/>
      <c r="M22" s="187"/>
      <c r="N22" s="187"/>
      <c r="O22" s="187"/>
    </row>
    <row r="23" spans="1:15" x14ac:dyDescent="0.25">
      <c r="A23" s="187"/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</row>
    <row r="24" spans="1:15" x14ac:dyDescent="0.25">
      <c r="A24" s="187"/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</row>
    <row r="25" spans="1:15" x14ac:dyDescent="0.25">
      <c r="A25" s="187"/>
      <c r="B25" s="187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</row>
    <row r="26" spans="1:15" x14ac:dyDescent="0.25">
      <c r="A26" s="187"/>
      <c r="B26" s="187"/>
      <c r="C26" s="187"/>
      <c r="D26" s="187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187"/>
    </row>
    <row r="27" spans="1:15" x14ac:dyDescent="0.25">
      <c r="A27" s="187"/>
      <c r="B27" s="187"/>
      <c r="C27" s="187"/>
      <c r="D27" s="187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</row>
    <row r="28" spans="1:15" x14ac:dyDescent="0.25">
      <c r="A28" s="187"/>
      <c r="B28" s="187"/>
      <c r="C28" s="187"/>
      <c r="D28" s="187"/>
      <c r="E28" s="187"/>
      <c r="F28" s="187"/>
      <c r="G28" s="187"/>
      <c r="H28" s="187"/>
      <c r="I28" s="187"/>
      <c r="J28" s="187"/>
      <c r="K28" s="187"/>
      <c r="L28" s="187"/>
      <c r="M28" s="187"/>
      <c r="N28" s="187"/>
      <c r="O28" s="187"/>
    </row>
    <row r="29" spans="1:15" x14ac:dyDescent="0.25">
      <c r="A29" s="187"/>
      <c r="B29" s="187"/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</row>
    <row r="30" spans="1:15" x14ac:dyDescent="0.25">
      <c r="A30" s="187"/>
      <c r="B30" s="187"/>
      <c r="C30" s="187"/>
      <c r="D30" s="187"/>
      <c r="E30" s="187"/>
      <c r="F30" s="187"/>
      <c r="G30" s="187"/>
      <c r="H30" s="187"/>
      <c r="I30" s="187"/>
      <c r="J30" s="187"/>
      <c r="K30" s="187"/>
      <c r="L30" s="187"/>
      <c r="M30" s="187"/>
      <c r="N30" s="187"/>
      <c r="O30" s="187"/>
    </row>
    <row r="31" spans="1:15" x14ac:dyDescent="0.25">
      <c r="A31" s="187"/>
      <c r="B31" s="187"/>
      <c r="C31" s="187"/>
      <c r="D31" s="187"/>
      <c r="E31" s="187"/>
      <c r="F31" s="187"/>
      <c r="G31" s="187"/>
      <c r="H31" s="187"/>
      <c r="I31" s="187"/>
      <c r="J31" s="187"/>
      <c r="K31" s="187"/>
      <c r="L31" s="187"/>
      <c r="M31" s="187"/>
      <c r="N31" s="187"/>
      <c r="O31" s="187"/>
    </row>
    <row r="32" spans="1:15" x14ac:dyDescent="0.25">
      <c r="A32" s="187"/>
      <c r="B32" s="187"/>
      <c r="C32" s="187"/>
      <c r="D32" s="187"/>
      <c r="E32" s="187"/>
      <c r="F32" s="187"/>
      <c r="G32" s="187"/>
      <c r="H32" s="187"/>
      <c r="I32" s="187"/>
      <c r="J32" s="187"/>
      <c r="K32" s="187"/>
      <c r="L32" s="187"/>
      <c r="M32" s="187"/>
      <c r="N32" s="187"/>
      <c r="O32" s="187"/>
    </row>
    <row r="33" spans="1:15" x14ac:dyDescent="0.25">
      <c r="A33" s="187"/>
      <c r="B33" s="187"/>
      <c r="C33" s="187"/>
      <c r="D33" s="187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7"/>
    </row>
    <row r="34" spans="1:15" x14ac:dyDescent="0.25">
      <c r="A34" s="187"/>
      <c r="B34" s="187"/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7"/>
    </row>
    <row r="35" spans="1:15" x14ac:dyDescent="0.25">
      <c r="A35" s="187"/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</row>
    <row r="36" spans="1:15" x14ac:dyDescent="0.25">
      <c r="A36" s="187"/>
      <c r="B36" s="187"/>
      <c r="C36" s="187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</row>
    <row r="37" spans="1:15" x14ac:dyDescent="0.25">
      <c r="A37" s="187"/>
      <c r="B37" s="187"/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</row>
    <row r="38" spans="1:15" x14ac:dyDescent="0.25">
      <c r="A38" s="187"/>
      <c r="B38" s="187"/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</row>
    <row r="39" spans="1:15" x14ac:dyDescent="0.25">
      <c r="A39" s="187"/>
      <c r="B39" s="187"/>
      <c r="C39" s="187"/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</row>
  </sheetData>
  <mergeCells count="1">
    <mergeCell ref="A1:O39"/>
  </mergeCells>
  <hyperlinks>
    <hyperlink ref="A1:O39" r:id="rId1" display="https://www.knowyourgst.com/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6:G33"/>
  <sheetViews>
    <sheetView view="pageBreakPreview" topLeftCell="A11" zoomScaleSheetLayoutView="100" workbookViewId="0">
      <selection activeCell="E30" sqref="E30"/>
    </sheetView>
  </sheetViews>
  <sheetFormatPr defaultColWidth="8.88671875" defaultRowHeight="13.2" x14ac:dyDescent="0.25"/>
  <cols>
    <col min="1" max="1" width="16.44140625" style="90" customWidth="1"/>
    <col min="2" max="6" width="12.109375" style="90" customWidth="1"/>
    <col min="7" max="7" width="16.44140625" style="90" customWidth="1"/>
    <col min="8" max="16384" width="8.88671875" style="90"/>
  </cols>
  <sheetData>
    <row r="6" spans="1:7" ht="20.399999999999999" x14ac:dyDescent="0.35">
      <c r="A6" s="184" t="s">
        <v>149</v>
      </c>
      <c r="B6" s="184"/>
      <c r="C6" s="184"/>
      <c r="D6" s="184"/>
      <c r="E6" s="184"/>
      <c r="F6" s="184"/>
      <c r="G6" s="184"/>
    </row>
    <row r="7" spans="1:7" ht="16.2" x14ac:dyDescent="0.35">
      <c r="A7" s="98"/>
    </row>
    <row r="8" spans="1:7" ht="15.6" x14ac:dyDescent="0.3">
      <c r="D8" s="118" t="s">
        <v>136</v>
      </c>
    </row>
    <row r="9" spans="1:7" ht="15.6" x14ac:dyDescent="0.3">
      <c r="D9" s="101"/>
    </row>
    <row r="10" spans="1:7" ht="33" customHeight="1" x14ac:dyDescent="0.25">
      <c r="A10" s="185" t="s">
        <v>259</v>
      </c>
      <c r="B10" s="185"/>
      <c r="C10" s="185"/>
      <c r="D10" s="185"/>
      <c r="E10" s="185"/>
      <c r="F10" s="185"/>
      <c r="G10" s="185"/>
    </row>
    <row r="11" spans="1:7" ht="37.5" customHeight="1" x14ac:dyDescent="0.25">
      <c r="A11" s="185"/>
      <c r="B11" s="185"/>
      <c r="C11" s="185"/>
      <c r="D11" s="185"/>
      <c r="E11" s="185"/>
      <c r="F11" s="185"/>
      <c r="G11" s="185"/>
    </row>
    <row r="14" spans="1:7" ht="15.6" x14ac:dyDescent="0.3">
      <c r="A14" s="101"/>
    </row>
    <row r="15" spans="1:7" x14ac:dyDescent="0.25">
      <c r="C15" s="91"/>
    </row>
    <row r="16" spans="1:7" x14ac:dyDescent="0.25">
      <c r="C16" s="91"/>
    </row>
    <row r="17" spans="1:6" x14ac:dyDescent="0.25">
      <c r="C17" s="91"/>
    </row>
    <row r="19" spans="1:6" x14ac:dyDescent="0.25">
      <c r="A19" s="94"/>
      <c r="C19" s="92"/>
    </row>
    <row r="22" spans="1:6" x14ac:dyDescent="0.25">
      <c r="C22" s="92"/>
    </row>
    <row r="23" spans="1:6" x14ac:dyDescent="0.25">
      <c r="C23" s="92"/>
    </row>
    <row r="25" spans="1:6" x14ac:dyDescent="0.25">
      <c r="A25" s="93"/>
    </row>
    <row r="27" spans="1:6" ht="15.6" x14ac:dyDescent="0.3">
      <c r="E27" s="102" t="s">
        <v>82</v>
      </c>
    </row>
    <row r="28" spans="1:6" ht="18" x14ac:dyDescent="0.35">
      <c r="E28" s="103" t="s">
        <v>260</v>
      </c>
      <c r="F28" s="103"/>
    </row>
    <row r="29" spans="1:6" ht="18" x14ac:dyDescent="0.35">
      <c r="A29" s="93"/>
      <c r="E29" s="103"/>
      <c r="F29" s="103"/>
    </row>
    <row r="30" spans="1:6" ht="18" x14ac:dyDescent="0.35">
      <c r="E30" s="103"/>
      <c r="F30" s="103"/>
    </row>
    <row r="31" spans="1:6" ht="18" x14ac:dyDescent="0.35">
      <c r="E31" s="103"/>
      <c r="F31" s="103"/>
    </row>
    <row r="33" spans="5:5" x14ac:dyDescent="0.25">
      <c r="E33" s="94"/>
    </row>
  </sheetData>
  <mergeCells count="2">
    <mergeCell ref="A6:G6"/>
    <mergeCell ref="A10:G11"/>
  </mergeCells>
  <printOptions horizontalCentered="1" verticalCentered="1"/>
  <pageMargins left="0.56999999999999995" right="0.25" top="1.18" bottom="0.95" header="0.2" footer="0.5"/>
  <pageSetup orientation="portrait" horizontalDpi="4294967293" verticalDpi="144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H45"/>
  <sheetViews>
    <sheetView view="pageBreakPreview" topLeftCell="A5" zoomScaleSheetLayoutView="100" workbookViewId="0">
      <selection activeCell="J9" sqref="J9"/>
    </sheetView>
  </sheetViews>
  <sheetFormatPr defaultColWidth="8.88671875" defaultRowHeight="13.2" x14ac:dyDescent="0.25"/>
  <cols>
    <col min="1" max="1" width="4" style="90" customWidth="1"/>
    <col min="2" max="2" width="16.44140625" style="90" customWidth="1"/>
    <col min="3" max="7" width="12.109375" style="90" customWidth="1"/>
    <col min="8" max="8" width="16.44140625" style="90" customWidth="1"/>
    <col min="9" max="9" width="1.5546875" style="90" customWidth="1"/>
    <col min="10" max="16384" width="8.88671875" style="90"/>
  </cols>
  <sheetData>
    <row r="2" spans="1:8" ht="28.2" x14ac:dyDescent="0.5">
      <c r="E2" s="164" t="s">
        <v>231</v>
      </c>
    </row>
    <row r="3" spans="1:8" ht="22.8" x14ac:dyDescent="0.4">
      <c r="F3" s="177" t="s">
        <v>123</v>
      </c>
    </row>
    <row r="6" spans="1:8" x14ac:dyDescent="0.25">
      <c r="A6" s="165"/>
      <c r="B6" s="165"/>
      <c r="C6" s="165"/>
      <c r="D6" s="165"/>
      <c r="E6" s="165"/>
      <c r="F6" s="165"/>
      <c r="G6" s="165"/>
      <c r="H6" s="165"/>
    </row>
    <row r="8" spans="1:8" ht="20.399999999999999" x14ac:dyDescent="0.35">
      <c r="D8" s="166" t="s">
        <v>195</v>
      </c>
    </row>
    <row r="9" spans="1:8" ht="16.2" x14ac:dyDescent="0.35">
      <c r="B9" s="98"/>
    </row>
    <row r="10" spans="1:8" ht="12.75" customHeight="1" x14ac:dyDescent="0.35">
      <c r="B10" s="103"/>
      <c r="C10" s="167"/>
    </row>
    <row r="11" spans="1:8" ht="18.75" customHeight="1" x14ac:dyDescent="0.35">
      <c r="C11" s="103"/>
    </row>
    <row r="12" spans="1:8" ht="18.75" customHeight="1" x14ac:dyDescent="0.35">
      <c r="B12" s="103" t="s">
        <v>261</v>
      </c>
      <c r="C12" s="103"/>
    </row>
    <row r="13" spans="1:8" ht="18.75" customHeight="1" x14ac:dyDescent="0.35">
      <c r="C13" s="103"/>
    </row>
    <row r="14" spans="1:8" ht="18.75" customHeight="1" x14ac:dyDescent="0.35">
      <c r="B14" s="103" t="s">
        <v>232</v>
      </c>
      <c r="C14" s="103"/>
      <c r="D14" s="91"/>
    </row>
    <row r="15" spans="1:8" ht="18.75" customHeight="1" x14ac:dyDescent="0.35">
      <c r="C15" s="103"/>
    </row>
    <row r="16" spans="1:8" ht="18.75" customHeight="1" x14ac:dyDescent="0.35">
      <c r="B16" s="103" t="s">
        <v>228</v>
      </c>
      <c r="C16" s="103"/>
      <c r="D16" s="92"/>
    </row>
    <row r="17" spans="2:4" ht="18.75" customHeight="1" x14ac:dyDescent="0.35">
      <c r="C17" s="103"/>
    </row>
    <row r="18" spans="2:4" ht="18.75" customHeight="1" x14ac:dyDescent="0.35">
      <c r="B18" s="103"/>
      <c r="C18" s="103"/>
    </row>
    <row r="19" spans="2:4" ht="18.75" customHeight="1" x14ac:dyDescent="0.35">
      <c r="B19" s="103" t="s">
        <v>196</v>
      </c>
      <c r="C19" s="103"/>
    </row>
    <row r="20" spans="2:4" ht="18.75" customHeight="1" x14ac:dyDescent="0.35">
      <c r="B20" s="103"/>
      <c r="C20" s="103"/>
    </row>
    <row r="21" spans="2:4" ht="18.75" customHeight="1" x14ac:dyDescent="0.35">
      <c r="B21" s="103" t="s">
        <v>197</v>
      </c>
      <c r="C21" s="103"/>
    </row>
    <row r="22" spans="2:4" ht="18.75" customHeight="1" x14ac:dyDescent="0.35">
      <c r="B22" s="103"/>
      <c r="C22" s="103"/>
    </row>
    <row r="23" spans="2:4" ht="18.75" customHeight="1" x14ac:dyDescent="0.35">
      <c r="B23" s="103" t="s">
        <v>198</v>
      </c>
      <c r="C23" s="103"/>
    </row>
    <row r="24" spans="2:4" ht="18.75" customHeight="1" x14ac:dyDescent="0.35">
      <c r="B24" s="103"/>
      <c r="C24" s="103"/>
    </row>
    <row r="25" spans="2:4" ht="18.75" customHeight="1" x14ac:dyDescent="0.35">
      <c r="B25" s="103" t="s">
        <v>199</v>
      </c>
      <c r="C25" s="103"/>
    </row>
    <row r="26" spans="2:4" ht="18.75" customHeight="1" x14ac:dyDescent="0.35">
      <c r="B26" s="103"/>
      <c r="C26" s="103"/>
    </row>
    <row r="27" spans="2:4" ht="18.75" customHeight="1" x14ac:dyDescent="0.35">
      <c r="B27" s="103" t="s">
        <v>200</v>
      </c>
      <c r="C27" s="103"/>
    </row>
    <row r="28" spans="2:4" ht="18.75" customHeight="1" x14ac:dyDescent="0.35">
      <c r="B28" s="103"/>
      <c r="C28" s="103"/>
    </row>
    <row r="29" spans="2:4" ht="18.75" customHeight="1" x14ac:dyDescent="0.35">
      <c r="B29" s="103" t="s">
        <v>201</v>
      </c>
      <c r="C29" s="103"/>
      <c r="D29" s="92"/>
    </row>
    <row r="30" spans="2:4" ht="18" x14ac:dyDescent="0.35">
      <c r="B30" s="103"/>
      <c r="C30" s="103"/>
      <c r="D30" s="92"/>
    </row>
    <row r="31" spans="2:4" ht="18" x14ac:dyDescent="0.35">
      <c r="B31" s="103" t="s">
        <v>202</v>
      </c>
      <c r="C31" s="103"/>
    </row>
    <row r="32" spans="2:4" ht="18" x14ac:dyDescent="0.35">
      <c r="B32" s="103"/>
      <c r="C32" s="103"/>
    </row>
    <row r="33" spans="2:8" ht="18" x14ac:dyDescent="0.35">
      <c r="B33" s="103"/>
      <c r="C33" s="103"/>
    </row>
    <row r="34" spans="2:8" x14ac:dyDescent="0.25">
      <c r="B34" s="93"/>
    </row>
    <row r="36" spans="2:8" ht="13.8" x14ac:dyDescent="0.25">
      <c r="F36" s="188"/>
      <c r="G36" s="188"/>
      <c r="H36" s="188"/>
    </row>
    <row r="37" spans="2:8" ht="13.8" x14ac:dyDescent="0.25">
      <c r="F37" s="188"/>
      <c r="G37" s="188"/>
      <c r="H37" s="188"/>
    </row>
    <row r="38" spans="2:8" ht="13.8" x14ac:dyDescent="0.25">
      <c r="B38" s="93"/>
      <c r="F38" s="188"/>
      <c r="G38" s="188"/>
      <c r="H38" s="188"/>
    </row>
    <row r="39" spans="2:8" ht="13.8" x14ac:dyDescent="0.25">
      <c r="F39" s="188"/>
      <c r="G39" s="188"/>
      <c r="H39" s="104"/>
    </row>
    <row r="40" spans="2:8" ht="13.8" x14ac:dyDescent="0.25">
      <c r="F40" s="188"/>
      <c r="G40" s="188"/>
      <c r="H40" s="104"/>
    </row>
    <row r="41" spans="2:8" ht="13.8" x14ac:dyDescent="0.25">
      <c r="F41" s="188"/>
      <c r="G41" s="188"/>
      <c r="H41" s="104"/>
    </row>
    <row r="42" spans="2:8" ht="15.6" x14ac:dyDescent="0.3">
      <c r="B42" s="101" t="s">
        <v>233</v>
      </c>
      <c r="F42" s="188"/>
      <c r="G42" s="188"/>
      <c r="H42" s="188"/>
    </row>
    <row r="43" spans="2:8" ht="15.6" x14ac:dyDescent="0.3">
      <c r="B43" s="101" t="s">
        <v>234</v>
      </c>
      <c r="F43" s="188"/>
      <c r="G43" s="188"/>
      <c r="H43" s="188"/>
    </row>
    <row r="44" spans="2:8" ht="13.8" x14ac:dyDescent="0.25">
      <c r="F44" s="188"/>
      <c r="G44" s="188"/>
      <c r="H44" s="188"/>
    </row>
    <row r="45" spans="2:8" x14ac:dyDescent="0.25">
      <c r="F45" s="94"/>
    </row>
  </sheetData>
  <mergeCells count="9">
    <mergeCell ref="F42:H42"/>
    <mergeCell ref="F43:H43"/>
    <mergeCell ref="F44:H44"/>
    <mergeCell ref="F36:H36"/>
    <mergeCell ref="F37:H37"/>
    <mergeCell ref="F38:H38"/>
    <mergeCell ref="F39:G39"/>
    <mergeCell ref="F40:G40"/>
    <mergeCell ref="F41:G41"/>
  </mergeCells>
  <printOptions horizontalCentered="1" verticalCentered="1"/>
  <pageMargins left="0.56999999999999995" right="0.25" top="1.18" bottom="0.95" header="0.2" footer="0.5"/>
  <pageSetup scale="88" orientation="portrait" horizontalDpi="4294967293" verticalDpi="144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view="pageBreakPreview" zoomScale="115" zoomScaleSheetLayoutView="115" workbookViewId="0">
      <selection activeCell="B18" sqref="B18"/>
    </sheetView>
  </sheetViews>
  <sheetFormatPr defaultColWidth="9.109375" defaultRowHeight="13.8" x14ac:dyDescent="0.25"/>
  <cols>
    <col min="1" max="1" width="5.44140625" style="9" customWidth="1"/>
    <col min="2" max="2" width="60" style="2" customWidth="1"/>
    <col min="3" max="3" width="8.88671875" style="83" customWidth="1"/>
    <col min="4" max="4" width="3" style="2" customWidth="1"/>
    <col min="5" max="16384" width="9.109375" style="2"/>
  </cols>
  <sheetData>
    <row r="1" spans="1:3" ht="15.75" customHeight="1" x14ac:dyDescent="0.25"/>
    <row r="2" spans="1:3" x14ac:dyDescent="0.25">
      <c r="A2" s="193" t="str">
        <f>'Cover Page'!A10:G10</f>
        <v>Ayan Sharma</v>
      </c>
      <c r="B2" s="193"/>
      <c r="C2" s="193"/>
    </row>
    <row r="3" spans="1:3" x14ac:dyDescent="0.25">
      <c r="A3" s="21"/>
      <c r="B3" s="21"/>
      <c r="C3" s="21"/>
    </row>
    <row r="4" spans="1:3" x14ac:dyDescent="0.25">
      <c r="B4" s="21" t="s">
        <v>22</v>
      </c>
    </row>
    <row r="5" spans="1:3" x14ac:dyDescent="0.25">
      <c r="A5" s="189" t="s">
        <v>23</v>
      </c>
      <c r="B5" s="189" t="s">
        <v>24</v>
      </c>
      <c r="C5" s="191" t="s">
        <v>25</v>
      </c>
    </row>
    <row r="6" spans="1:3" x14ac:dyDescent="0.25">
      <c r="A6" s="190"/>
      <c r="B6" s="190"/>
      <c r="C6" s="192"/>
    </row>
    <row r="7" spans="1:3" x14ac:dyDescent="0.25">
      <c r="A7" s="6"/>
      <c r="B7" s="84" t="s">
        <v>26</v>
      </c>
      <c r="C7" s="85"/>
    </row>
    <row r="8" spans="1:3" x14ac:dyDescent="0.25">
      <c r="A8" s="10">
        <v>1</v>
      </c>
      <c r="B8" s="32" t="s">
        <v>27</v>
      </c>
      <c r="C8" s="86">
        <v>4</v>
      </c>
    </row>
    <row r="9" spans="1:3" x14ac:dyDescent="0.25">
      <c r="A9" s="10">
        <v>2</v>
      </c>
      <c r="B9" s="32" t="s">
        <v>31</v>
      </c>
      <c r="C9" s="86">
        <v>5</v>
      </c>
    </row>
    <row r="10" spans="1:3" x14ac:dyDescent="0.25">
      <c r="A10" s="10">
        <v>3</v>
      </c>
      <c r="B10" s="32" t="s">
        <v>3</v>
      </c>
      <c r="C10" s="86">
        <v>6</v>
      </c>
    </row>
    <row r="11" spans="1:3" x14ac:dyDescent="0.25">
      <c r="A11" s="10">
        <v>4</v>
      </c>
      <c r="B11" s="32" t="s">
        <v>32</v>
      </c>
      <c r="C11" s="86">
        <v>7</v>
      </c>
    </row>
    <row r="12" spans="1:3" x14ac:dyDescent="0.25">
      <c r="A12" s="10">
        <v>5</v>
      </c>
      <c r="B12" s="32" t="s">
        <v>69</v>
      </c>
      <c r="C12" s="86">
        <v>8</v>
      </c>
    </row>
    <row r="13" spans="1:3" x14ac:dyDescent="0.25">
      <c r="A13" s="10"/>
      <c r="B13" s="32"/>
      <c r="C13" s="86"/>
    </row>
    <row r="14" spans="1:3" x14ac:dyDescent="0.25">
      <c r="A14" s="10"/>
      <c r="B14" s="87" t="s">
        <v>34</v>
      </c>
      <c r="C14" s="86"/>
    </row>
    <row r="15" spans="1:3" x14ac:dyDescent="0.25">
      <c r="A15" s="10">
        <v>1</v>
      </c>
      <c r="B15" s="32" t="s">
        <v>35</v>
      </c>
      <c r="C15" s="86">
        <v>9</v>
      </c>
    </row>
    <row r="16" spans="1:3" x14ac:dyDescent="0.25">
      <c r="A16" s="10">
        <v>2</v>
      </c>
      <c r="B16" s="32" t="s">
        <v>36</v>
      </c>
      <c r="C16" s="86">
        <v>10</v>
      </c>
    </row>
    <row r="17" spans="1:3" x14ac:dyDescent="0.25">
      <c r="A17" s="10">
        <v>3</v>
      </c>
      <c r="B17" s="32" t="s">
        <v>124</v>
      </c>
      <c r="C17" s="86">
        <v>11</v>
      </c>
    </row>
    <row r="18" spans="1:3" x14ac:dyDescent="0.25">
      <c r="A18" s="10">
        <v>4</v>
      </c>
      <c r="B18" s="32" t="s">
        <v>37</v>
      </c>
      <c r="C18" s="86">
        <v>12</v>
      </c>
    </row>
    <row r="19" spans="1:3" x14ac:dyDescent="0.25">
      <c r="A19" s="10">
        <v>5</v>
      </c>
      <c r="B19" s="32" t="s">
        <v>38</v>
      </c>
      <c r="C19" s="86">
        <v>14</v>
      </c>
    </row>
    <row r="20" spans="1:3" x14ac:dyDescent="0.25">
      <c r="A20" s="10">
        <v>6</v>
      </c>
      <c r="B20" s="32" t="s">
        <v>39</v>
      </c>
      <c r="C20" s="86">
        <v>15</v>
      </c>
    </row>
    <row r="21" spans="1:3" x14ac:dyDescent="0.25">
      <c r="A21" s="15">
        <v>7</v>
      </c>
      <c r="B21" s="31" t="s">
        <v>159</v>
      </c>
      <c r="C21" s="88">
        <v>16</v>
      </c>
    </row>
  </sheetData>
  <mergeCells count="4">
    <mergeCell ref="B5:B6"/>
    <mergeCell ref="C5:C6"/>
    <mergeCell ref="A2:C2"/>
    <mergeCell ref="A5:A6"/>
  </mergeCells>
  <phoneticPr fontId="0" type="noConversion"/>
  <printOptions horizontalCentered="1" verticalCentered="1"/>
  <pageMargins left="0.2" right="0.56999999999999995" top="0.87" bottom="5.79" header="0.5" footer="0.5"/>
  <pageSetup scale="95" orientation="portrait" horizontalDpi="4294967293" verticalDpi="144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51"/>
  <sheetViews>
    <sheetView view="pageBreakPreview" topLeftCell="A39" zoomScaleSheetLayoutView="100" workbookViewId="0">
      <selection activeCell="D46" sqref="D46"/>
    </sheetView>
  </sheetViews>
  <sheetFormatPr defaultColWidth="19.6640625" defaultRowHeight="13.8" x14ac:dyDescent="0.25"/>
  <cols>
    <col min="1" max="1" width="7" style="2" customWidth="1"/>
    <col min="2" max="2" width="36.6640625" style="2" customWidth="1"/>
    <col min="3" max="3" width="4" style="2" customWidth="1"/>
    <col min="4" max="4" width="50.5546875" style="2" bestFit="1" customWidth="1"/>
    <col min="5" max="5" width="14.44140625" style="2" customWidth="1"/>
    <col min="6" max="6" width="12.44140625" style="2" customWidth="1"/>
    <col min="7" max="7" width="22.88671875" style="2" customWidth="1"/>
    <col min="8" max="8" width="19.6640625" style="2" customWidth="1"/>
    <col min="9" max="9" width="9" style="2" customWidth="1"/>
    <col min="10" max="10" width="19.6640625" style="2" customWidth="1"/>
    <col min="11" max="11" width="11.44140625" style="2" customWidth="1"/>
    <col min="12" max="12" width="19.6640625" style="2" customWidth="1"/>
    <col min="13" max="13" width="6" style="2" customWidth="1"/>
    <col min="14" max="16384" width="19.6640625" style="2"/>
  </cols>
  <sheetData>
    <row r="1" spans="1:6" x14ac:dyDescent="0.25">
      <c r="B1" s="1" t="str">
        <f>Index!A2</f>
        <v>Ayan Sharma</v>
      </c>
    </row>
    <row r="3" spans="1:6" x14ac:dyDescent="0.25">
      <c r="B3" s="1" t="s">
        <v>54</v>
      </c>
    </row>
    <row r="4" spans="1:6" x14ac:dyDescent="0.25">
      <c r="A4" s="1"/>
    </row>
    <row r="5" spans="1:6" x14ac:dyDescent="0.25">
      <c r="A5" s="193" t="s">
        <v>150</v>
      </c>
      <c r="B5" s="193"/>
      <c r="C5" s="193"/>
      <c r="D5" s="193"/>
      <c r="E5" s="193"/>
      <c r="F5" s="193"/>
    </row>
    <row r="6" spans="1:6" x14ac:dyDescent="0.25">
      <c r="A6" s="1"/>
    </row>
    <row r="7" spans="1:6" x14ac:dyDescent="0.25">
      <c r="A7" s="9">
        <v>1</v>
      </c>
      <c r="B7" s="2" t="s">
        <v>163</v>
      </c>
      <c r="C7" s="21" t="s">
        <v>21</v>
      </c>
      <c r="D7" s="105" t="str">
        <f>B1</f>
        <v>Ayan Sharma</v>
      </c>
    </row>
    <row r="9" spans="1:6" x14ac:dyDescent="0.25">
      <c r="A9" s="9">
        <v>2</v>
      </c>
      <c r="B9" s="2" t="s">
        <v>137</v>
      </c>
      <c r="C9" s="21" t="s">
        <v>21</v>
      </c>
      <c r="D9" s="105" t="str">
        <f>D7</f>
        <v>Ayan Sharma</v>
      </c>
    </row>
    <row r="10" spans="1:6" x14ac:dyDescent="0.25">
      <c r="A10" s="9"/>
      <c r="C10" s="21"/>
      <c r="D10" s="1"/>
    </row>
    <row r="11" spans="1:6" x14ac:dyDescent="0.25">
      <c r="A11" s="9">
        <v>3</v>
      </c>
      <c r="B11" s="2" t="s">
        <v>221</v>
      </c>
      <c r="C11" s="21" t="s">
        <v>21</v>
      </c>
      <c r="D11" s="105" t="s">
        <v>235</v>
      </c>
    </row>
    <row r="12" spans="1:6" x14ac:dyDescent="0.25">
      <c r="A12" s="9"/>
      <c r="C12" s="21"/>
      <c r="D12" s="1"/>
    </row>
    <row r="13" spans="1:6" x14ac:dyDescent="0.25">
      <c r="A13" s="9">
        <v>4</v>
      </c>
      <c r="B13" s="2" t="s">
        <v>164</v>
      </c>
      <c r="C13" s="21" t="s">
        <v>21</v>
      </c>
      <c r="D13" s="105" t="s">
        <v>237</v>
      </c>
    </row>
    <row r="14" spans="1:6" x14ac:dyDescent="0.25">
      <c r="A14" s="9"/>
      <c r="C14" s="21"/>
      <c r="D14" s="1"/>
    </row>
    <row r="15" spans="1:6" x14ac:dyDescent="0.25">
      <c r="A15" s="9">
        <v>5</v>
      </c>
      <c r="B15" s="2" t="s">
        <v>223</v>
      </c>
      <c r="C15" s="21" t="s">
        <v>21</v>
      </c>
      <c r="D15" s="105" t="s">
        <v>238</v>
      </c>
    </row>
    <row r="16" spans="1:6" x14ac:dyDescent="0.25">
      <c r="A16" s="9"/>
      <c r="C16" s="21"/>
      <c r="D16" s="18"/>
    </row>
    <row r="17" spans="1:5" x14ac:dyDescent="0.25">
      <c r="A17" s="9">
        <v>6</v>
      </c>
      <c r="B17" s="2" t="s">
        <v>152</v>
      </c>
      <c r="C17" s="21" t="s">
        <v>21</v>
      </c>
      <c r="D17" s="178">
        <v>8574134650</v>
      </c>
    </row>
    <row r="18" spans="1:5" x14ac:dyDescent="0.25">
      <c r="A18" s="9"/>
    </row>
    <row r="19" spans="1:5" x14ac:dyDescent="0.25">
      <c r="A19" s="9">
        <v>7</v>
      </c>
      <c r="B19" s="2" t="s">
        <v>138</v>
      </c>
      <c r="C19" s="21" t="s">
        <v>21</v>
      </c>
      <c r="D19" s="171" t="s">
        <v>236</v>
      </c>
    </row>
    <row r="20" spans="1:5" x14ac:dyDescent="0.25">
      <c r="A20" s="9"/>
      <c r="C20" s="21"/>
      <c r="D20" s="1"/>
    </row>
    <row r="21" spans="1:5" ht="15" x14ac:dyDescent="0.3">
      <c r="A21" s="9">
        <v>8</v>
      </c>
      <c r="B21" s="2" t="s">
        <v>154</v>
      </c>
      <c r="C21" s="21" t="s">
        <v>21</v>
      </c>
      <c r="D21" s="107" t="s">
        <v>153</v>
      </c>
    </row>
    <row r="22" spans="1:5" ht="15" x14ac:dyDescent="0.3">
      <c r="A22" s="9"/>
      <c r="C22" s="21"/>
      <c r="D22" s="107"/>
    </row>
    <row r="23" spans="1:5" x14ac:dyDescent="0.25">
      <c r="A23" s="9">
        <v>9</v>
      </c>
      <c r="B23" s="2" t="s">
        <v>165</v>
      </c>
      <c r="C23" s="21" t="s">
        <v>21</v>
      </c>
      <c r="D23" s="1" t="s">
        <v>239</v>
      </c>
    </row>
    <row r="24" spans="1:5" x14ac:dyDescent="0.25">
      <c r="D24" s="1"/>
    </row>
    <row r="25" spans="1:5" x14ac:dyDescent="0.25">
      <c r="A25" s="9">
        <v>10</v>
      </c>
      <c r="B25" s="2" t="s">
        <v>151</v>
      </c>
      <c r="C25" s="21" t="s">
        <v>21</v>
      </c>
      <c r="D25" s="1" t="s">
        <v>240</v>
      </c>
    </row>
    <row r="26" spans="1:5" ht="15" x14ac:dyDescent="0.3">
      <c r="C26" s="21"/>
      <c r="D26" s="107"/>
    </row>
    <row r="27" spans="1:5" ht="15" x14ac:dyDescent="0.3">
      <c r="A27" s="9">
        <v>11</v>
      </c>
      <c r="B27" s="2" t="s">
        <v>203</v>
      </c>
      <c r="C27" s="21" t="s">
        <v>21</v>
      </c>
      <c r="D27" s="107" t="s">
        <v>241</v>
      </c>
    </row>
    <row r="28" spans="1:5" ht="15" x14ac:dyDescent="0.3">
      <c r="C28" s="21"/>
      <c r="D28" s="107"/>
    </row>
    <row r="29" spans="1:5" ht="15" x14ac:dyDescent="0.3">
      <c r="A29" s="9">
        <v>12</v>
      </c>
      <c r="B29" s="2" t="s">
        <v>139</v>
      </c>
      <c r="C29" s="21" t="s">
        <v>21</v>
      </c>
      <c r="D29" s="106">
        <f>Cost!C29</f>
        <v>10209070</v>
      </c>
      <c r="E29" s="1"/>
    </row>
    <row r="30" spans="1:5" x14ac:dyDescent="0.25">
      <c r="A30" s="9"/>
      <c r="C30" s="21"/>
      <c r="D30" s="1"/>
    </row>
    <row r="31" spans="1:5" ht="15" x14ac:dyDescent="0.3">
      <c r="A31" s="9">
        <v>13</v>
      </c>
      <c r="B31" s="2" t="s">
        <v>140</v>
      </c>
      <c r="C31" s="21" t="s">
        <v>21</v>
      </c>
      <c r="D31" s="106">
        <f>Cost!C35+Cost!C36</f>
        <v>2300000</v>
      </c>
      <c r="E31" s="1"/>
    </row>
    <row r="32" spans="1:5" x14ac:dyDescent="0.25">
      <c r="A32" s="9"/>
      <c r="C32" s="21"/>
      <c r="D32" s="1"/>
    </row>
    <row r="33" spans="1:9" ht="15" x14ac:dyDescent="0.3">
      <c r="A33" s="9">
        <v>14</v>
      </c>
      <c r="B33" s="113" t="s">
        <v>155</v>
      </c>
      <c r="C33" s="21" t="s">
        <v>21</v>
      </c>
      <c r="D33" s="106">
        <f>Cost!C33+Cost!C34</f>
        <v>7609070</v>
      </c>
      <c r="E33" s="1"/>
    </row>
    <row r="34" spans="1:9" x14ac:dyDescent="0.25">
      <c r="A34" s="9"/>
    </row>
    <row r="35" spans="1:9" x14ac:dyDescent="0.25">
      <c r="A35" s="9">
        <v>15</v>
      </c>
      <c r="B35" s="2" t="s">
        <v>166</v>
      </c>
      <c r="C35" s="21" t="s">
        <v>21</v>
      </c>
      <c r="D35" s="106">
        <v>0</v>
      </c>
      <c r="E35" s="1"/>
    </row>
    <row r="36" spans="1:9" ht="15" x14ac:dyDescent="0.3">
      <c r="A36" s="9"/>
      <c r="B36" s="113"/>
      <c r="C36" s="21"/>
      <c r="D36" s="106"/>
      <c r="E36" s="1"/>
    </row>
    <row r="37" spans="1:9" ht="15" x14ac:dyDescent="0.3">
      <c r="A37" s="9">
        <v>16</v>
      </c>
      <c r="B37" s="113" t="s">
        <v>48</v>
      </c>
      <c r="C37" s="21" t="s">
        <v>21</v>
      </c>
      <c r="D37" s="120">
        <v>9.7500000000000003E-2</v>
      </c>
      <c r="E37" s="1"/>
      <c r="I37" s="11"/>
    </row>
    <row r="38" spans="1:9" ht="15" x14ac:dyDescent="0.3">
      <c r="A38" s="9"/>
      <c r="B38" s="113"/>
      <c r="C38" s="21"/>
      <c r="D38" s="120"/>
      <c r="E38" s="1"/>
      <c r="I38" s="11"/>
    </row>
    <row r="39" spans="1:9" x14ac:dyDescent="0.25">
      <c r="A39" s="9">
        <v>17</v>
      </c>
      <c r="B39" s="2" t="s">
        <v>213</v>
      </c>
      <c r="C39" s="21" t="s">
        <v>21</v>
      </c>
      <c r="D39" s="168">
        <f>Cost!E35/Cost!E34</f>
        <v>3.3082913043478261</v>
      </c>
      <c r="E39" s="106" t="s">
        <v>214</v>
      </c>
      <c r="I39" s="11"/>
    </row>
    <row r="40" spans="1:9" x14ac:dyDescent="0.25">
      <c r="A40" s="9"/>
      <c r="C40" s="21"/>
      <c r="D40" s="106"/>
      <c r="E40" s="106"/>
      <c r="I40" s="11"/>
    </row>
    <row r="41" spans="1:9" x14ac:dyDescent="0.25">
      <c r="A41" s="9">
        <v>18</v>
      </c>
      <c r="B41" s="2" t="s">
        <v>38</v>
      </c>
      <c r="C41" s="21" t="s">
        <v>21</v>
      </c>
      <c r="D41" s="106" t="e">
        <f>'Annex 5 DSCR'!B24</f>
        <v>#DIV/0!</v>
      </c>
      <c r="E41" s="106"/>
      <c r="I41" s="11"/>
    </row>
    <row r="42" spans="1:9" x14ac:dyDescent="0.25">
      <c r="C42" s="21"/>
      <c r="D42" s="106"/>
      <c r="E42" s="106"/>
      <c r="I42" s="11"/>
    </row>
    <row r="43" spans="1:9" x14ac:dyDescent="0.25">
      <c r="A43" s="9">
        <v>19</v>
      </c>
      <c r="B43" s="2" t="s">
        <v>215</v>
      </c>
      <c r="C43" s="21" t="s">
        <v>21</v>
      </c>
      <c r="D43" s="106">
        <f>profit!B24/profit!B11*100</f>
        <v>6.6407678704571511</v>
      </c>
      <c r="E43" s="106" t="s">
        <v>216</v>
      </c>
      <c r="F43" s="119"/>
      <c r="G43" s="119"/>
      <c r="I43" s="11"/>
    </row>
    <row r="44" spans="1:9" x14ac:dyDescent="0.25">
      <c r="C44" s="21"/>
      <c r="D44" s="106"/>
      <c r="E44" s="106"/>
      <c r="F44" s="188"/>
      <c r="G44" s="188"/>
      <c r="I44" s="11"/>
    </row>
    <row r="45" spans="1:9" x14ac:dyDescent="0.25">
      <c r="A45" s="9">
        <v>20</v>
      </c>
      <c r="B45" s="2" t="s">
        <v>217</v>
      </c>
      <c r="C45" s="21" t="s">
        <v>21</v>
      </c>
      <c r="D45" s="106">
        <f>profit!B32/profit!B11*100</f>
        <v>6.6407678704571511</v>
      </c>
      <c r="E45" s="106" t="s">
        <v>216</v>
      </c>
      <c r="F45" s="119"/>
      <c r="G45" s="119"/>
      <c r="I45" s="11"/>
    </row>
    <row r="46" spans="1:9" x14ac:dyDescent="0.25">
      <c r="C46" s="21"/>
      <c r="D46" s="106"/>
      <c r="E46" s="106"/>
      <c r="F46" s="188"/>
      <c r="G46" s="188"/>
      <c r="I46" s="11"/>
    </row>
    <row r="47" spans="1:9" x14ac:dyDescent="0.25">
      <c r="A47" s="9">
        <v>21</v>
      </c>
      <c r="B47" s="2" t="s">
        <v>218</v>
      </c>
      <c r="C47" s="21" t="s">
        <v>21</v>
      </c>
      <c r="D47" s="106">
        <f>'Annex 6 ROI'!B34</f>
        <v>22.324322034979676</v>
      </c>
      <c r="E47" s="106" t="s">
        <v>66</v>
      </c>
      <c r="F47" s="119"/>
      <c r="G47" s="119"/>
      <c r="I47" s="11"/>
    </row>
    <row r="48" spans="1:9" ht="15.6" x14ac:dyDescent="0.3">
      <c r="B48" s="101"/>
      <c r="C48" s="90"/>
      <c r="D48" s="90"/>
      <c r="E48" s="90"/>
      <c r="F48" s="188"/>
      <c r="G48" s="188"/>
      <c r="I48" s="11"/>
    </row>
    <row r="49" spans="1:8" x14ac:dyDescent="0.25">
      <c r="A49" s="9"/>
      <c r="F49" s="188"/>
      <c r="G49" s="188"/>
      <c r="H49" s="104"/>
    </row>
    <row r="50" spans="1:8" x14ac:dyDescent="0.25">
      <c r="F50" s="188"/>
      <c r="G50" s="188"/>
      <c r="H50" s="119"/>
    </row>
    <row r="51" spans="1:8" x14ac:dyDescent="0.25">
      <c r="B51" s="90"/>
      <c r="C51" s="90"/>
      <c r="D51" s="90"/>
      <c r="E51" s="90"/>
      <c r="F51" s="188"/>
      <c r="G51" s="188"/>
      <c r="H51" s="119"/>
    </row>
  </sheetData>
  <mergeCells count="7">
    <mergeCell ref="F51:G51"/>
    <mergeCell ref="A5:F5"/>
    <mergeCell ref="F49:G49"/>
    <mergeCell ref="F50:G50"/>
    <mergeCell ref="F44:G44"/>
    <mergeCell ref="F46:G46"/>
    <mergeCell ref="F48:G48"/>
  </mergeCells>
  <printOptions horizontalCentered="1"/>
  <pageMargins left="0.42" right="0.26" top="1.26" bottom="0.59" header="0.19" footer="0.36"/>
  <pageSetup scale="68" orientation="portrait" horizontalDpi="4294967293" verticalDpi="144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9"/>
  <sheetViews>
    <sheetView view="pageBreakPreview" zoomScaleSheetLayoutView="100" workbookViewId="0">
      <selection activeCell="C36" sqref="C36"/>
    </sheetView>
  </sheetViews>
  <sheetFormatPr defaultColWidth="9.109375" defaultRowHeight="13.8" x14ac:dyDescent="0.25"/>
  <cols>
    <col min="1" max="1" width="40.109375" style="2" customWidth="1"/>
    <col min="2" max="2" width="15.6640625" style="2" customWidth="1"/>
    <col min="3" max="3" width="15.5546875" style="2" customWidth="1"/>
    <col min="4" max="4" width="3.6640625" style="2" customWidth="1"/>
    <col min="5" max="5" width="11.5546875" style="2" bestFit="1" customWidth="1"/>
    <col min="6" max="7" width="12.88671875" style="2" bestFit="1" customWidth="1"/>
    <col min="8" max="8" width="10" style="2" customWidth="1"/>
    <col min="9" max="9" width="12.5546875" style="2" customWidth="1"/>
    <col min="10" max="16384" width="9.109375" style="2"/>
  </cols>
  <sheetData>
    <row r="1" spans="1:9" x14ac:dyDescent="0.25">
      <c r="A1" s="194" t="str">
        <f>'Cover Page'!A10:G10</f>
        <v>Ayan Sharma</v>
      </c>
      <c r="B1" s="194"/>
      <c r="C1" s="194"/>
      <c r="D1" s="194"/>
      <c r="E1" s="194"/>
    </row>
    <row r="2" spans="1:9" x14ac:dyDescent="0.25">
      <c r="A2" s="22"/>
      <c r="B2" s="22"/>
      <c r="C2" s="22"/>
      <c r="D2" s="22"/>
      <c r="E2" s="22"/>
    </row>
    <row r="4" spans="1:9" x14ac:dyDescent="0.25">
      <c r="A4" s="1" t="s">
        <v>148</v>
      </c>
      <c r="B4" s="1"/>
      <c r="C4" s="19"/>
      <c r="E4" s="3"/>
    </row>
    <row r="5" spans="1:9" x14ac:dyDescent="0.25">
      <c r="A5" s="1"/>
      <c r="B5" s="1"/>
      <c r="E5" s="3"/>
    </row>
    <row r="6" spans="1:9" x14ac:dyDescent="0.25">
      <c r="A6" s="1" t="s">
        <v>55</v>
      </c>
      <c r="E6" s="3"/>
    </row>
    <row r="7" spans="1:9" x14ac:dyDescent="0.25">
      <c r="A7" s="1"/>
      <c r="C7" s="117"/>
      <c r="E7" s="3"/>
    </row>
    <row r="8" spans="1:9" x14ac:dyDescent="0.25">
      <c r="A8" s="1"/>
      <c r="E8" s="3"/>
    </row>
    <row r="9" spans="1:9" x14ac:dyDescent="0.25">
      <c r="A9" s="2" t="s">
        <v>65</v>
      </c>
      <c r="C9" s="69">
        <f>C29</f>
        <v>10209070</v>
      </c>
      <c r="D9" s="5"/>
    </row>
    <row r="10" spans="1:9" x14ac:dyDescent="0.25">
      <c r="D10" s="69"/>
      <c r="E10" s="5"/>
    </row>
    <row r="11" spans="1:9" x14ac:dyDescent="0.25">
      <c r="A11" s="2" t="s">
        <v>57</v>
      </c>
      <c r="E11" s="3"/>
    </row>
    <row r="12" spans="1:9" x14ac:dyDescent="0.25">
      <c r="E12" s="1"/>
    </row>
    <row r="13" spans="1:9" x14ac:dyDescent="0.25">
      <c r="A13" s="1" t="s">
        <v>28</v>
      </c>
      <c r="B13" s="21" t="s">
        <v>21</v>
      </c>
      <c r="C13" s="19"/>
      <c r="E13" s="19"/>
      <c r="F13" s="193"/>
      <c r="G13" s="193"/>
      <c r="H13" s="21"/>
      <c r="I13" s="21"/>
    </row>
    <row r="14" spans="1:9" x14ac:dyDescent="0.25">
      <c r="A14" s="70" t="s">
        <v>29</v>
      </c>
      <c r="B14" s="71"/>
      <c r="C14" s="72" t="s">
        <v>30</v>
      </c>
      <c r="E14" s="21"/>
      <c r="F14" s="9"/>
      <c r="G14" s="9"/>
      <c r="H14" s="9"/>
      <c r="I14" s="9"/>
    </row>
    <row r="15" spans="1:9" x14ac:dyDescent="0.25">
      <c r="A15" s="43"/>
      <c r="B15" s="21"/>
      <c r="C15" s="16"/>
      <c r="E15" s="11"/>
      <c r="F15" s="11"/>
      <c r="G15" s="11"/>
      <c r="H15" s="11"/>
      <c r="I15" s="9"/>
    </row>
    <row r="16" spans="1:9" x14ac:dyDescent="0.25">
      <c r="A16" s="44" t="s">
        <v>160</v>
      </c>
      <c r="B16" s="21"/>
      <c r="C16" s="16">
        <v>0</v>
      </c>
      <c r="E16" s="11"/>
      <c r="F16" s="11"/>
      <c r="G16" s="11"/>
      <c r="H16" s="11"/>
      <c r="I16" s="9"/>
    </row>
    <row r="17" spans="1:9" x14ac:dyDescent="0.25">
      <c r="A17" s="44"/>
      <c r="B17" s="21"/>
      <c r="C17" s="16"/>
      <c r="E17" s="11"/>
      <c r="F17" s="11"/>
      <c r="G17" s="11"/>
      <c r="H17" s="11"/>
      <c r="I17" s="9"/>
    </row>
    <row r="18" spans="1:9" x14ac:dyDescent="0.25">
      <c r="A18" s="172" t="s">
        <v>156</v>
      </c>
      <c r="B18" s="21"/>
      <c r="C18" s="16">
        <f>SUM(B19:B23)</f>
        <v>9909070</v>
      </c>
      <c r="E18" s="11"/>
      <c r="F18" s="11"/>
      <c r="G18" s="11"/>
      <c r="H18" s="11"/>
      <c r="I18" s="9"/>
    </row>
    <row r="19" spans="1:9" x14ac:dyDescent="0.25">
      <c r="A19" s="44" t="s">
        <v>242</v>
      </c>
      <c r="B19" s="16">
        <v>3400000</v>
      </c>
      <c r="C19" s="16"/>
      <c r="E19" s="11"/>
      <c r="F19" s="11"/>
      <c r="G19" s="11"/>
      <c r="H19" s="11"/>
      <c r="I19" s="9"/>
    </row>
    <row r="20" spans="1:9" x14ac:dyDescent="0.25">
      <c r="A20" s="2" t="s">
        <v>253</v>
      </c>
      <c r="B20" s="16">
        <v>6509070</v>
      </c>
      <c r="C20" s="16"/>
      <c r="E20" s="11"/>
      <c r="F20" s="11"/>
      <c r="G20" s="11"/>
      <c r="H20" s="11"/>
      <c r="I20" s="9"/>
    </row>
    <row r="21" spans="1:9" x14ac:dyDescent="0.25">
      <c r="A21" s="44"/>
      <c r="B21" s="16"/>
      <c r="C21" s="16"/>
      <c r="E21" s="11"/>
      <c r="F21" s="11"/>
      <c r="G21" s="11"/>
      <c r="H21" s="11"/>
      <c r="I21" s="9"/>
    </row>
    <row r="22" spans="1:9" x14ac:dyDescent="0.25">
      <c r="A22" s="44"/>
      <c r="B22" s="16"/>
      <c r="C22" s="16"/>
      <c r="E22" s="11"/>
      <c r="F22" s="11"/>
      <c r="G22" s="11"/>
      <c r="H22" s="11"/>
      <c r="I22" s="9"/>
    </row>
    <row r="23" spans="1:9" x14ac:dyDescent="0.25">
      <c r="A23" s="44"/>
      <c r="B23" s="99"/>
      <c r="C23" s="16"/>
      <c r="E23" s="11"/>
      <c r="F23" s="11"/>
      <c r="G23" s="11"/>
      <c r="H23" s="11"/>
      <c r="I23" s="9"/>
    </row>
    <row r="24" spans="1:9" x14ac:dyDescent="0.25">
      <c r="A24" s="44"/>
      <c r="B24" s="11"/>
      <c r="C24" s="16"/>
      <c r="E24" s="11"/>
      <c r="F24" s="11"/>
      <c r="G24" s="11"/>
      <c r="H24" s="11"/>
      <c r="I24" s="9"/>
    </row>
    <row r="25" spans="1:9" x14ac:dyDescent="0.25">
      <c r="A25" s="44"/>
      <c r="B25" s="21"/>
      <c r="C25" s="16"/>
      <c r="E25" s="11"/>
      <c r="F25" s="11"/>
      <c r="G25" s="11"/>
      <c r="H25" s="11"/>
      <c r="I25" s="9"/>
    </row>
    <row r="26" spans="1:9" x14ac:dyDescent="0.25">
      <c r="A26" s="44" t="s">
        <v>161</v>
      </c>
      <c r="B26" s="21"/>
      <c r="C26" s="16">
        <v>300000</v>
      </c>
      <c r="E26" s="11"/>
      <c r="F26" s="11"/>
      <c r="G26" s="11"/>
      <c r="H26" s="11"/>
      <c r="I26" s="9"/>
    </row>
    <row r="27" spans="1:9" x14ac:dyDescent="0.25">
      <c r="A27" s="44"/>
      <c r="B27" s="21"/>
      <c r="C27" s="16"/>
      <c r="E27" s="11"/>
      <c r="F27" s="11"/>
      <c r="G27" s="11"/>
      <c r="H27" s="11"/>
      <c r="I27" s="9"/>
    </row>
    <row r="28" spans="1:9" x14ac:dyDescent="0.25">
      <c r="A28" s="44"/>
      <c r="B28" s="21"/>
      <c r="C28" s="16"/>
      <c r="F28" s="11"/>
      <c r="G28" s="11"/>
      <c r="H28" s="26"/>
      <c r="I28" s="11"/>
    </row>
    <row r="29" spans="1:9" x14ac:dyDescent="0.25">
      <c r="A29" s="37" t="s">
        <v>30</v>
      </c>
      <c r="B29" s="73"/>
      <c r="C29" s="28">
        <f>SUM(C15:C28)</f>
        <v>10209070</v>
      </c>
      <c r="E29" s="11"/>
      <c r="F29" s="11"/>
      <c r="G29" s="11"/>
      <c r="H29" s="26"/>
      <c r="I29" s="11"/>
    </row>
    <row r="30" spans="1:9" x14ac:dyDescent="0.25">
      <c r="E30" s="11"/>
      <c r="F30" s="11"/>
      <c r="G30" s="26"/>
      <c r="H30" s="26"/>
      <c r="I30" s="11"/>
    </row>
    <row r="31" spans="1:9" x14ac:dyDescent="0.25">
      <c r="A31" s="1" t="s">
        <v>33</v>
      </c>
      <c r="B31" s="21" t="s">
        <v>21</v>
      </c>
      <c r="E31" s="21"/>
      <c r="F31" s="11"/>
      <c r="G31" s="11"/>
      <c r="H31" s="11"/>
      <c r="I31" s="11"/>
    </row>
    <row r="32" spans="1:9" x14ac:dyDescent="0.25">
      <c r="A32" s="70" t="s">
        <v>29</v>
      </c>
      <c r="B32" s="71" t="s">
        <v>162</v>
      </c>
      <c r="C32" s="72" t="s">
        <v>30</v>
      </c>
      <c r="E32" s="74"/>
      <c r="F32" s="11"/>
      <c r="G32" s="11"/>
      <c r="H32" s="11"/>
      <c r="I32" s="11"/>
    </row>
    <row r="33" spans="1:10" x14ac:dyDescent="0.25">
      <c r="A33" s="20" t="s">
        <v>254</v>
      </c>
      <c r="B33" s="121">
        <v>0.29730000000000001</v>
      </c>
      <c r="C33" s="75">
        <v>7309070</v>
      </c>
      <c r="E33" s="74"/>
      <c r="F33" s="11"/>
      <c r="G33" s="11"/>
      <c r="H33" s="11"/>
      <c r="I33" s="11"/>
    </row>
    <row r="34" spans="1:10" x14ac:dyDescent="0.25">
      <c r="A34" s="20" t="s">
        <v>192</v>
      </c>
      <c r="B34" s="121">
        <v>0.08</v>
      </c>
      <c r="C34" s="75">
        <v>300000</v>
      </c>
      <c r="E34" s="74">
        <f>C36+C35</f>
        <v>2300000</v>
      </c>
      <c r="F34" s="163"/>
      <c r="G34" s="76"/>
    </row>
    <row r="35" spans="1:10" x14ac:dyDescent="0.25">
      <c r="A35" s="20" t="s">
        <v>243</v>
      </c>
      <c r="B35" s="121">
        <v>0.62170000000000003</v>
      </c>
      <c r="C35" s="75">
        <v>2300000</v>
      </c>
      <c r="E35" s="74">
        <f>C34+C33</f>
        <v>7609070</v>
      </c>
      <c r="F35" s="163"/>
      <c r="G35" s="76"/>
    </row>
    <row r="36" spans="1:10" x14ac:dyDescent="0.25">
      <c r="A36" s="20" t="s">
        <v>168</v>
      </c>
      <c r="B36" s="121" t="s">
        <v>13</v>
      </c>
      <c r="C36" s="75">
        <v>0</v>
      </c>
      <c r="E36" s="74"/>
      <c r="F36" s="21"/>
      <c r="G36" s="76"/>
    </row>
    <row r="37" spans="1:10" x14ac:dyDescent="0.25">
      <c r="A37" s="20"/>
      <c r="B37" s="21"/>
      <c r="C37" s="75"/>
      <c r="E37" s="74"/>
      <c r="F37" s="21"/>
      <c r="G37" s="76"/>
    </row>
    <row r="38" spans="1:10" x14ac:dyDescent="0.25">
      <c r="A38" s="24" t="s">
        <v>30</v>
      </c>
      <c r="B38" s="73"/>
      <c r="C38" s="77">
        <f>SUM(C33:C37)</f>
        <v>9909070</v>
      </c>
      <c r="E38" s="74"/>
      <c r="F38" s="9"/>
      <c r="G38" s="9"/>
      <c r="H38" s="9"/>
      <c r="I38" s="9"/>
    </row>
    <row r="40" spans="1:10" x14ac:dyDescent="0.25">
      <c r="B40" s="21"/>
      <c r="C40" s="21"/>
      <c r="D40" s="21"/>
      <c r="E40" s="78"/>
      <c r="F40" s="78"/>
      <c r="G40" s="79"/>
      <c r="J40" s="80"/>
    </row>
    <row r="41" spans="1:10" x14ac:dyDescent="0.25">
      <c r="B41" s="21"/>
      <c r="D41" s="21"/>
      <c r="E41" s="79"/>
      <c r="F41" s="79"/>
      <c r="G41" s="79"/>
    </row>
    <row r="42" spans="1:10" x14ac:dyDescent="0.25">
      <c r="B42" s="21"/>
      <c r="C42" s="21"/>
      <c r="D42" s="21"/>
      <c r="E42" s="54"/>
      <c r="F42" s="54"/>
      <c r="G42" s="54"/>
    </row>
    <row r="43" spans="1:10" x14ac:dyDescent="0.25">
      <c r="B43" s="21"/>
      <c r="C43" s="21"/>
      <c r="D43" s="21"/>
      <c r="E43" s="54"/>
      <c r="F43" s="54"/>
      <c r="G43" s="54"/>
    </row>
    <row r="44" spans="1:10" x14ac:dyDescent="0.25">
      <c r="B44" s="21"/>
      <c r="C44" s="21"/>
      <c r="D44" s="21"/>
      <c r="E44" s="81"/>
      <c r="F44" s="81"/>
      <c r="G44" s="81"/>
    </row>
    <row r="45" spans="1:10" x14ac:dyDescent="0.25">
      <c r="B45" s="21"/>
      <c r="C45" s="21"/>
      <c r="D45" s="21"/>
      <c r="E45" s="82"/>
      <c r="F45" s="82"/>
    </row>
    <row r="46" spans="1:10" x14ac:dyDescent="0.25">
      <c r="B46" s="21"/>
      <c r="C46" s="21"/>
      <c r="D46" s="21"/>
      <c r="E46" s="21"/>
      <c r="F46" s="21"/>
      <c r="G46" s="21"/>
    </row>
    <row r="47" spans="1:10" x14ac:dyDescent="0.25">
      <c r="B47" s="21"/>
      <c r="C47" s="21"/>
      <c r="D47" s="21"/>
      <c r="E47" s="21"/>
      <c r="F47" s="21"/>
      <c r="G47" s="21"/>
    </row>
    <row r="48" spans="1:10" x14ac:dyDescent="0.25">
      <c r="B48" s="21"/>
      <c r="C48" s="21"/>
      <c r="D48" s="21"/>
      <c r="E48" s="21"/>
      <c r="F48" s="21"/>
      <c r="G48" s="21"/>
    </row>
    <row r="49" spans="2:7" x14ac:dyDescent="0.25">
      <c r="B49" s="21"/>
      <c r="C49" s="21"/>
      <c r="D49" s="21"/>
      <c r="E49" s="21"/>
      <c r="F49" s="21"/>
      <c r="G49" s="21"/>
    </row>
  </sheetData>
  <mergeCells count="2">
    <mergeCell ref="F13:G13"/>
    <mergeCell ref="A1:E1"/>
  </mergeCells>
  <phoneticPr fontId="0" type="noConversion"/>
  <printOptions horizontalCentered="1" verticalCentered="1"/>
  <pageMargins left="0.97" right="1.64" top="0.38" bottom="2.92" header="0.28999999999999998" footer="0.5"/>
  <pageSetup scale="81" orientation="portrait" horizontalDpi="4294967293" verticalDpi="144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4"/>
  <sheetViews>
    <sheetView view="pageBreakPreview" zoomScaleSheetLayoutView="100" workbookViewId="0">
      <selection activeCell="D13" sqref="D13"/>
    </sheetView>
  </sheetViews>
  <sheetFormatPr defaultColWidth="9.109375" defaultRowHeight="13.8" x14ac:dyDescent="0.25"/>
  <cols>
    <col min="1" max="1" width="38.44140625" style="2" customWidth="1"/>
    <col min="2" max="6" width="15.109375" style="2" bestFit="1" customWidth="1"/>
    <col min="7" max="7" width="1.33203125" style="2" customWidth="1"/>
    <col min="8" max="8" width="18.109375" style="2" customWidth="1"/>
    <col min="9" max="16384" width="9.109375" style="2"/>
  </cols>
  <sheetData>
    <row r="1" spans="1:9" x14ac:dyDescent="0.25">
      <c r="A1" s="89" t="str">
        <f>Cost!A1</f>
        <v>Ayan Sharma</v>
      </c>
    </row>
    <row r="2" spans="1:9" x14ac:dyDescent="0.25">
      <c r="A2" s="17"/>
    </row>
    <row r="3" spans="1:9" x14ac:dyDescent="0.25">
      <c r="A3" s="89"/>
    </row>
    <row r="4" spans="1:9" x14ac:dyDescent="0.25">
      <c r="A4" s="1" t="s">
        <v>134</v>
      </c>
      <c r="B4" s="1"/>
    </row>
    <row r="5" spans="1:9" x14ac:dyDescent="0.25">
      <c r="A5" s="1" t="s">
        <v>3</v>
      </c>
      <c r="B5" s="1"/>
      <c r="E5" s="19"/>
      <c r="F5" s="19"/>
    </row>
    <row r="6" spans="1:9" x14ac:dyDescent="0.25">
      <c r="A6" s="195" t="s">
        <v>4</v>
      </c>
      <c r="B6" s="196" t="s">
        <v>104</v>
      </c>
      <c r="C6" s="197"/>
      <c r="D6" s="197"/>
      <c r="E6" s="197"/>
      <c r="F6" s="198"/>
    </row>
    <row r="7" spans="1:9" x14ac:dyDescent="0.25">
      <c r="A7" s="190"/>
      <c r="B7" s="27">
        <v>2026</v>
      </c>
      <c r="C7" s="27">
        <v>2027</v>
      </c>
      <c r="D7" s="27">
        <v>2028</v>
      </c>
      <c r="E7" s="27">
        <v>2029</v>
      </c>
      <c r="F7" s="27">
        <v>2030</v>
      </c>
    </row>
    <row r="8" spans="1:9" x14ac:dyDescent="0.25">
      <c r="A8" s="20" t="s">
        <v>117</v>
      </c>
      <c r="B8" s="20"/>
      <c r="C8" s="16"/>
      <c r="D8" s="11"/>
      <c r="E8" s="16"/>
      <c r="F8" s="16"/>
    </row>
    <row r="9" spans="1:9" x14ac:dyDescent="0.25">
      <c r="A9" s="95" t="s">
        <v>122</v>
      </c>
      <c r="B9" s="13">
        <v>15811417</v>
      </c>
      <c r="C9" s="45">
        <f>B9+(B9*3%)</f>
        <v>16285759.51</v>
      </c>
      <c r="D9" s="45">
        <f>C9+(C9*4%)</f>
        <v>16937189.8904</v>
      </c>
      <c r="E9" s="45">
        <f>D9+(D9*4%)</f>
        <v>17614677.486016002</v>
      </c>
      <c r="F9" s="16">
        <f>E9+(E9*5%)</f>
        <v>18495411.360316802</v>
      </c>
      <c r="H9" s="122"/>
    </row>
    <row r="10" spans="1:9" x14ac:dyDescent="0.25">
      <c r="A10" s="95"/>
      <c r="B10" s="13"/>
      <c r="C10" s="13"/>
      <c r="D10" s="13"/>
      <c r="E10" s="13"/>
      <c r="F10" s="13"/>
      <c r="H10" s="122"/>
    </row>
    <row r="11" spans="1:9" x14ac:dyDescent="0.25">
      <c r="A11" s="20"/>
      <c r="B11" s="63">
        <f>SUM(B9:B10)</f>
        <v>15811417</v>
      </c>
      <c r="C11" s="63">
        <f>SUM(C9:C10)</f>
        <v>16285759.51</v>
      </c>
      <c r="D11" s="63">
        <f t="shared" ref="D11:F11" si="0">SUM(D9:D10)</f>
        <v>16937189.8904</v>
      </c>
      <c r="E11" s="63">
        <f t="shared" si="0"/>
        <v>17614677.486016002</v>
      </c>
      <c r="F11" s="63">
        <f t="shared" si="0"/>
        <v>18495411.360316802</v>
      </c>
      <c r="H11" s="122"/>
    </row>
    <row r="12" spans="1:9" x14ac:dyDescent="0.25">
      <c r="A12" s="44" t="s">
        <v>118</v>
      </c>
      <c r="B12" s="45"/>
      <c r="C12" s="16"/>
      <c r="D12" s="16"/>
      <c r="E12" s="16"/>
      <c r="F12" s="169"/>
      <c r="H12" s="122"/>
    </row>
    <row r="13" spans="1:9" ht="15" x14ac:dyDescent="0.25">
      <c r="A13" s="181" t="s">
        <v>244</v>
      </c>
      <c r="B13" s="45">
        <f>30000*7*12</f>
        <v>2520000</v>
      </c>
      <c r="C13" s="45">
        <f>B13*10%+B13</f>
        <v>2772000</v>
      </c>
      <c r="D13" s="45">
        <f>C13*10%+C13</f>
        <v>3049200</v>
      </c>
      <c r="E13" s="45">
        <f>D13*10%+D13</f>
        <v>3354120</v>
      </c>
      <c r="F13" s="16">
        <f>E13*10%+E13</f>
        <v>3689532</v>
      </c>
      <c r="H13" s="122"/>
      <c r="I13" s="64"/>
    </row>
    <row r="14" spans="1:9" ht="15" x14ac:dyDescent="0.25">
      <c r="A14" s="179" t="s">
        <v>248</v>
      </c>
      <c r="B14" s="45">
        <f>308000*12</f>
        <v>3696000</v>
      </c>
      <c r="C14" s="45">
        <f>276000*12</f>
        <v>3312000</v>
      </c>
      <c r="D14" s="45">
        <f>247000*12</f>
        <v>2964000</v>
      </c>
      <c r="E14" s="45">
        <f>198000*12</f>
        <v>2376000</v>
      </c>
      <c r="F14" s="16">
        <f>164000*12</f>
        <v>1968000</v>
      </c>
    </row>
    <row r="15" spans="1:9" x14ac:dyDescent="0.25">
      <c r="A15" s="182" t="s">
        <v>247</v>
      </c>
      <c r="B15" s="45">
        <f>20000*25*12</f>
        <v>6000000</v>
      </c>
      <c r="C15" s="45">
        <f>B15+(B15*10%)</f>
        <v>6600000</v>
      </c>
      <c r="D15" s="45">
        <f>C15+(C15*10%)</f>
        <v>7260000</v>
      </c>
      <c r="E15" s="45">
        <f>D15+(D15*10%)</f>
        <v>7986000</v>
      </c>
      <c r="F15" s="16">
        <f>E15+(E15*10%)</f>
        <v>8784600</v>
      </c>
    </row>
    <row r="16" spans="1:9" ht="15" x14ac:dyDescent="0.25">
      <c r="A16" s="181" t="s">
        <v>249</v>
      </c>
      <c r="B16" s="45">
        <v>300000</v>
      </c>
      <c r="C16" s="45">
        <f>B16+(B16*20%)</f>
        <v>360000</v>
      </c>
      <c r="D16" s="45">
        <f>C16+(C16*20%)</f>
        <v>432000</v>
      </c>
      <c r="E16" s="45">
        <f>D16+(D16*20%)</f>
        <v>518400</v>
      </c>
      <c r="F16" s="16">
        <f>E16+(E16*20%)</f>
        <v>622080</v>
      </c>
    </row>
    <row r="17" spans="1:9" ht="15" x14ac:dyDescent="0.25">
      <c r="A17" s="181" t="s">
        <v>250</v>
      </c>
      <c r="B17" s="45">
        <v>30000</v>
      </c>
      <c r="C17" s="45">
        <v>30000</v>
      </c>
      <c r="D17" s="45">
        <v>30000</v>
      </c>
      <c r="E17" s="45">
        <v>30000</v>
      </c>
      <c r="F17" s="16">
        <v>30000</v>
      </c>
    </row>
    <row r="18" spans="1:9" ht="15" x14ac:dyDescent="0.25">
      <c r="A18" s="181" t="s">
        <v>251</v>
      </c>
      <c r="B18" s="45">
        <v>11500</v>
      </c>
      <c r="C18" s="45">
        <f>B18+(B18*5%)</f>
        <v>12075</v>
      </c>
      <c r="D18" s="45">
        <f>C18+(C18*5%)</f>
        <v>12678.75</v>
      </c>
      <c r="E18" s="45">
        <f>D18+(D18*5%)</f>
        <v>13312.6875</v>
      </c>
      <c r="F18" s="16">
        <f>E18+(E18*5%)</f>
        <v>13978.321875</v>
      </c>
    </row>
    <row r="19" spans="1:9" ht="15" x14ac:dyDescent="0.25">
      <c r="A19" s="181" t="s">
        <v>252</v>
      </c>
      <c r="B19" s="45">
        <v>650000</v>
      </c>
      <c r="C19" s="45">
        <f>B19*10%+B19</f>
        <v>715000</v>
      </c>
      <c r="D19" s="45">
        <f>C19*10%+C19</f>
        <v>786500</v>
      </c>
      <c r="E19" s="45">
        <f>D19*10%+D19</f>
        <v>865150</v>
      </c>
      <c r="F19" s="16">
        <f>E19*10%+E19</f>
        <v>951665</v>
      </c>
    </row>
    <row r="20" spans="1:9" x14ac:dyDescent="0.25">
      <c r="A20" s="183" t="s">
        <v>245</v>
      </c>
      <c r="B20" s="45">
        <v>300000</v>
      </c>
      <c r="C20" s="45">
        <f>B20-10000</f>
        <v>290000</v>
      </c>
      <c r="D20" s="45">
        <f>C20-15000</f>
        <v>275000</v>
      </c>
      <c r="E20" s="45">
        <f>D20-25000</f>
        <v>250000</v>
      </c>
      <c r="F20" s="16">
        <f>E20-27000</f>
        <v>223000</v>
      </c>
    </row>
    <row r="21" spans="1:9" x14ac:dyDescent="0.25">
      <c r="A21" s="180" t="s">
        <v>1</v>
      </c>
      <c r="B21" s="65">
        <f>Depr.!B22</f>
        <v>1253917.5</v>
      </c>
      <c r="C21" s="65">
        <f>Depr.!C22</f>
        <v>1065829.875</v>
      </c>
      <c r="D21" s="65">
        <f>Depr.!D22</f>
        <v>905955.39374999993</v>
      </c>
      <c r="E21" s="65">
        <f>Depr.!E22</f>
        <v>770062.08468750003</v>
      </c>
      <c r="F21" s="13">
        <f>Depr.!F22</f>
        <v>654552.77198437497</v>
      </c>
    </row>
    <row r="22" spans="1:9" x14ac:dyDescent="0.25">
      <c r="A22" s="180" t="s">
        <v>246</v>
      </c>
      <c r="B22" s="66">
        <f t="shared" ref="B22:F22" si="1">SUM(B13:B21)</f>
        <v>14761417.5</v>
      </c>
      <c r="C22" s="66">
        <f t="shared" si="1"/>
        <v>15156904.875</v>
      </c>
      <c r="D22" s="66">
        <f t="shared" si="1"/>
        <v>15715334.143750001</v>
      </c>
      <c r="E22" s="66">
        <f t="shared" si="1"/>
        <v>16163044.772187499</v>
      </c>
      <c r="F22" s="63">
        <f t="shared" si="1"/>
        <v>16937408.093859375</v>
      </c>
      <c r="I22" s="64"/>
    </row>
    <row r="23" spans="1:9" x14ac:dyDescent="0.25">
      <c r="A23" s="44"/>
      <c r="B23" s="40"/>
      <c r="C23" s="33"/>
      <c r="D23" s="33"/>
      <c r="E23" s="33"/>
      <c r="F23" s="33"/>
    </row>
    <row r="24" spans="1:9" x14ac:dyDescent="0.25">
      <c r="A24" s="44" t="s">
        <v>6</v>
      </c>
      <c r="B24" s="67">
        <f t="shared" ref="B24:F24" si="2">B11-B22</f>
        <v>1049999.5</v>
      </c>
      <c r="C24" s="13">
        <f t="shared" si="2"/>
        <v>1128854.6349999998</v>
      </c>
      <c r="D24" s="13">
        <f t="shared" si="2"/>
        <v>1221855.7466499992</v>
      </c>
      <c r="E24" s="13">
        <f t="shared" si="2"/>
        <v>1451632.7138285022</v>
      </c>
      <c r="F24" s="13">
        <f t="shared" si="2"/>
        <v>1558003.2664574273</v>
      </c>
      <c r="I24" s="64"/>
    </row>
    <row r="25" spans="1:9" x14ac:dyDescent="0.25">
      <c r="A25" s="44"/>
      <c r="B25" s="67"/>
      <c r="C25" s="13"/>
      <c r="D25" s="13"/>
      <c r="E25" s="13"/>
      <c r="F25" s="13"/>
    </row>
    <row r="26" spans="1:9" x14ac:dyDescent="0.25">
      <c r="A26" s="44" t="s">
        <v>206</v>
      </c>
      <c r="B26" s="67"/>
      <c r="C26" s="13"/>
      <c r="D26" s="13"/>
      <c r="E26" s="13"/>
      <c r="F26" s="13"/>
    </row>
    <row r="27" spans="1:9" x14ac:dyDescent="0.25">
      <c r="A27" s="44" t="s">
        <v>224</v>
      </c>
      <c r="B27" s="67"/>
      <c r="C27" s="45"/>
      <c r="D27" s="45"/>
      <c r="E27" s="45"/>
      <c r="F27" s="16"/>
    </row>
    <row r="28" spans="1:9" x14ac:dyDescent="0.25">
      <c r="A28" s="44" t="s">
        <v>205</v>
      </c>
      <c r="B28" s="66"/>
      <c r="C28" s="66"/>
      <c r="D28" s="66"/>
      <c r="E28" s="66"/>
      <c r="F28" s="63"/>
    </row>
    <row r="29" spans="1:9" x14ac:dyDescent="0.25">
      <c r="A29" s="44"/>
      <c r="B29" s="40"/>
      <c r="C29" s="34"/>
      <c r="D29" s="34"/>
      <c r="E29" s="34"/>
      <c r="F29" s="34"/>
    </row>
    <row r="30" spans="1:9" x14ac:dyDescent="0.25">
      <c r="A30" s="44" t="s">
        <v>193</v>
      </c>
      <c r="B30" s="67">
        <v>0</v>
      </c>
      <c r="C30" s="45">
        <f>B30+(B30*10%)</f>
        <v>0</v>
      </c>
      <c r="D30" s="45">
        <f t="shared" ref="D30:E30" si="3">C30+(C30*10%)</f>
        <v>0</v>
      </c>
      <c r="E30" s="45">
        <f t="shared" si="3"/>
        <v>0</v>
      </c>
      <c r="F30" s="16">
        <f>E30+(E30*10%)</f>
        <v>0</v>
      </c>
    </row>
    <row r="31" spans="1:9" x14ac:dyDescent="0.25">
      <c r="A31" s="44"/>
      <c r="B31" s="67"/>
      <c r="C31" s="13"/>
      <c r="D31" s="13"/>
      <c r="E31" s="13"/>
      <c r="F31" s="13"/>
    </row>
    <row r="32" spans="1:9" x14ac:dyDescent="0.25">
      <c r="A32" s="44" t="s">
        <v>7</v>
      </c>
      <c r="B32" s="67">
        <f>+B24-(B28+B30)</f>
        <v>1049999.5</v>
      </c>
      <c r="C32" s="13">
        <f>+C24-(C28+C30)</f>
        <v>1128854.6349999998</v>
      </c>
      <c r="D32" s="13">
        <f>+D24-(D28+D30)</f>
        <v>1221855.7466499992</v>
      </c>
      <c r="E32" s="13">
        <f>+E24-(E28+E30)</f>
        <v>1451632.7138285022</v>
      </c>
      <c r="F32" s="13">
        <f>+F24-(F28+F30)</f>
        <v>1558003.2664574273</v>
      </c>
    </row>
    <row r="33" spans="1:6" x14ac:dyDescent="0.25">
      <c r="A33" s="44"/>
      <c r="B33" s="67"/>
      <c r="C33" s="13"/>
      <c r="D33" s="13"/>
      <c r="E33" s="13"/>
      <c r="F33" s="13"/>
    </row>
    <row r="34" spans="1:6" x14ac:dyDescent="0.25">
      <c r="A34" s="44" t="s">
        <v>8</v>
      </c>
      <c r="B34" s="67">
        <v>0</v>
      </c>
      <c r="C34" s="67">
        <v>0</v>
      </c>
      <c r="D34" s="67">
        <v>0</v>
      </c>
      <c r="E34" s="67">
        <v>0</v>
      </c>
      <c r="F34" s="13">
        <v>0</v>
      </c>
    </row>
    <row r="35" spans="1:6" x14ac:dyDescent="0.25">
      <c r="A35" s="44"/>
      <c r="B35" s="67"/>
      <c r="C35" s="13"/>
      <c r="D35" s="13"/>
      <c r="E35" s="13"/>
      <c r="F35" s="13"/>
    </row>
    <row r="36" spans="1:6" x14ac:dyDescent="0.25">
      <c r="A36" s="44" t="s">
        <v>85</v>
      </c>
      <c r="B36" s="67">
        <f t="shared" ref="B36:F36" si="4">B32-B34</f>
        <v>1049999.5</v>
      </c>
      <c r="C36" s="13">
        <f t="shared" si="4"/>
        <v>1128854.6349999998</v>
      </c>
      <c r="D36" s="13">
        <f t="shared" si="4"/>
        <v>1221855.7466499992</v>
      </c>
      <c r="E36" s="13">
        <f t="shared" si="4"/>
        <v>1451632.7138285022</v>
      </c>
      <c r="F36" s="13">
        <f t="shared" si="4"/>
        <v>1558003.2664574273</v>
      </c>
    </row>
    <row r="37" spans="1:6" x14ac:dyDescent="0.25">
      <c r="A37" s="44"/>
      <c r="B37" s="67"/>
      <c r="C37" s="13"/>
      <c r="D37" s="13"/>
      <c r="E37" s="13"/>
      <c r="F37" s="13"/>
    </row>
    <row r="38" spans="1:6" x14ac:dyDescent="0.25">
      <c r="A38" s="44" t="s">
        <v>84</v>
      </c>
      <c r="B38" s="67">
        <f t="shared" ref="B38:F38" si="5">B21</f>
        <v>1253917.5</v>
      </c>
      <c r="C38" s="13">
        <f t="shared" si="5"/>
        <v>1065829.875</v>
      </c>
      <c r="D38" s="13">
        <f t="shared" si="5"/>
        <v>905955.39374999993</v>
      </c>
      <c r="E38" s="13">
        <f t="shared" si="5"/>
        <v>770062.08468750003</v>
      </c>
      <c r="F38" s="13">
        <f t="shared" si="5"/>
        <v>654552.77198437497</v>
      </c>
    </row>
    <row r="39" spans="1:6" x14ac:dyDescent="0.25">
      <c r="A39" s="44"/>
      <c r="B39" s="67"/>
      <c r="C39" s="13"/>
      <c r="D39" s="13"/>
      <c r="E39" s="13"/>
      <c r="F39" s="13"/>
    </row>
    <row r="40" spans="1:6" x14ac:dyDescent="0.25">
      <c r="A40" s="44" t="s">
        <v>9</v>
      </c>
      <c r="B40" s="67">
        <f t="shared" ref="B40:F40" si="6">B36+B38</f>
        <v>2303917</v>
      </c>
      <c r="C40" s="13">
        <f t="shared" si="6"/>
        <v>2194684.5099999998</v>
      </c>
      <c r="D40" s="13">
        <f t="shared" si="6"/>
        <v>2127811.140399999</v>
      </c>
      <c r="E40" s="13">
        <f t="shared" si="6"/>
        <v>2221694.7985160025</v>
      </c>
      <c r="F40" s="13">
        <f t="shared" si="6"/>
        <v>2212556.0384418024</v>
      </c>
    </row>
    <row r="41" spans="1:6" x14ac:dyDescent="0.25">
      <c r="A41" s="44"/>
      <c r="B41" s="67"/>
      <c r="C41" s="13"/>
      <c r="D41" s="13"/>
      <c r="E41" s="13"/>
      <c r="F41" s="13"/>
    </row>
    <row r="42" spans="1:6" s="54" customFormat="1" x14ac:dyDescent="0.25">
      <c r="A42" s="68" t="s">
        <v>68</v>
      </c>
      <c r="B42" s="67"/>
      <c r="C42" s="67"/>
      <c r="D42" s="67"/>
      <c r="E42" s="13"/>
      <c r="F42" s="13"/>
    </row>
    <row r="43" spans="1:6" x14ac:dyDescent="0.25">
      <c r="A43" s="44"/>
      <c r="B43" s="67"/>
      <c r="C43" s="13"/>
      <c r="D43" s="13"/>
      <c r="E43" s="13"/>
      <c r="F43" s="13"/>
    </row>
    <row r="44" spans="1:6" x14ac:dyDescent="0.25">
      <c r="A44" s="37" t="s">
        <v>99</v>
      </c>
      <c r="B44" s="66">
        <f t="shared" ref="B44:F44" si="7">+B40-B42</f>
        <v>2303917</v>
      </c>
      <c r="C44" s="66">
        <f t="shared" si="7"/>
        <v>2194684.5099999998</v>
      </c>
      <c r="D44" s="66">
        <f t="shared" si="7"/>
        <v>2127811.140399999</v>
      </c>
      <c r="E44" s="66">
        <f t="shared" si="7"/>
        <v>2221694.7985160025</v>
      </c>
      <c r="F44" s="63">
        <f t="shared" si="7"/>
        <v>2212556.0384418024</v>
      </c>
    </row>
  </sheetData>
  <mergeCells count="2">
    <mergeCell ref="A6:A7"/>
    <mergeCell ref="B6:F6"/>
  </mergeCells>
  <phoneticPr fontId="0" type="noConversion"/>
  <pageMargins left="0.84" right="0" top="0.89" bottom="0.57999999999999996" header="0.26" footer="0.5"/>
  <pageSetup scale="75" orientation="portrait" horizontalDpi="4294967293" verticalDpi="144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34"/>
  <sheetViews>
    <sheetView view="pageBreakPreview" zoomScaleSheetLayoutView="100" workbookViewId="0">
      <selection activeCell="K25" sqref="K25"/>
    </sheetView>
  </sheetViews>
  <sheetFormatPr defaultColWidth="9.109375" defaultRowHeight="13.8" x14ac:dyDescent="0.25"/>
  <cols>
    <col min="1" max="1" width="41.5546875" style="54" customWidth="1"/>
    <col min="2" max="2" width="14.44140625" style="54" bestFit="1" customWidth="1"/>
    <col min="3" max="5" width="12.88671875" style="54" bestFit="1" customWidth="1"/>
    <col min="6" max="6" width="14.44140625" style="54" customWidth="1"/>
    <col min="7" max="7" width="2.5546875" style="54" customWidth="1"/>
    <col min="8" max="10" width="9.109375" style="54"/>
    <col min="11" max="11" width="10.5546875" style="54" bestFit="1" customWidth="1"/>
    <col min="12" max="16384" width="9.109375" style="54"/>
  </cols>
  <sheetData>
    <row r="1" spans="1:6" x14ac:dyDescent="0.25">
      <c r="A1" s="53" t="str">
        <f>profit!A1</f>
        <v>Ayan Sharma</v>
      </c>
    </row>
    <row r="3" spans="1:6" x14ac:dyDescent="0.25">
      <c r="A3" s="53"/>
    </row>
    <row r="4" spans="1:6" x14ac:dyDescent="0.25">
      <c r="A4" s="53" t="s">
        <v>67</v>
      </c>
    </row>
    <row r="5" spans="1:6" x14ac:dyDescent="0.25">
      <c r="A5" s="53"/>
    </row>
    <row r="6" spans="1:6" x14ac:dyDescent="0.25">
      <c r="A6" s="53" t="s">
        <v>10</v>
      </c>
    </row>
    <row r="7" spans="1:6" x14ac:dyDescent="0.25">
      <c r="A7" s="199" t="s">
        <v>4</v>
      </c>
      <c r="B7" s="201" t="s">
        <v>105</v>
      </c>
      <c r="C7" s="202"/>
      <c r="D7" s="202"/>
      <c r="E7" s="202"/>
      <c r="F7" s="203"/>
    </row>
    <row r="8" spans="1:6" s="56" customFormat="1" x14ac:dyDescent="0.25">
      <c r="A8" s="200"/>
      <c r="B8" s="27">
        <v>2026</v>
      </c>
      <c r="C8" s="27">
        <v>2027</v>
      </c>
      <c r="D8" s="27">
        <v>2028</v>
      </c>
      <c r="E8" s="27">
        <v>2029</v>
      </c>
      <c r="F8" s="27">
        <v>2030</v>
      </c>
    </row>
    <row r="9" spans="1:6" x14ac:dyDescent="0.25">
      <c r="A9" s="59" t="s">
        <v>115</v>
      </c>
      <c r="B9" s="40"/>
      <c r="C9" s="34"/>
      <c r="D9" s="26"/>
      <c r="E9" s="34"/>
      <c r="F9" s="35"/>
    </row>
    <row r="10" spans="1:6" x14ac:dyDescent="0.25">
      <c r="A10" s="34" t="s">
        <v>11</v>
      </c>
      <c r="B10" s="45">
        <f>profit!B36</f>
        <v>1049999.5</v>
      </c>
      <c r="C10" s="34">
        <f>+profit!C36</f>
        <v>1128854.6349999998</v>
      </c>
      <c r="D10" s="34">
        <f>+profit!D36</f>
        <v>1221855.7466499992</v>
      </c>
      <c r="E10" s="34">
        <f>+profit!E36</f>
        <v>1451632.7138285022</v>
      </c>
      <c r="F10" s="34">
        <f>+profit!F36</f>
        <v>1558003.2664574273</v>
      </c>
    </row>
    <row r="11" spans="1:6" x14ac:dyDescent="0.25">
      <c r="A11" s="34" t="s">
        <v>12</v>
      </c>
      <c r="B11" s="45">
        <f>profit!B21</f>
        <v>1253917.5</v>
      </c>
      <c r="C11" s="34">
        <f>+profit!C21</f>
        <v>1065829.875</v>
      </c>
      <c r="D11" s="34">
        <f>+profit!D21</f>
        <v>905955.39374999993</v>
      </c>
      <c r="E11" s="34">
        <f>+profit!E21</f>
        <v>770062.08468750003</v>
      </c>
      <c r="F11" s="34">
        <f>+profit!F21</f>
        <v>654552.77198437497</v>
      </c>
    </row>
    <row r="12" spans="1:6" x14ac:dyDescent="0.25">
      <c r="A12" s="34" t="s">
        <v>80</v>
      </c>
      <c r="B12" s="40">
        <f>Cost!C34+Cost!C33</f>
        <v>7609070</v>
      </c>
      <c r="C12" s="34">
        <v>0</v>
      </c>
      <c r="D12" s="16" t="s">
        <v>14</v>
      </c>
      <c r="E12" s="16" t="s">
        <v>14</v>
      </c>
      <c r="F12" s="16" t="s">
        <v>14</v>
      </c>
    </row>
    <row r="13" spans="1:6" x14ac:dyDescent="0.25">
      <c r="A13" s="34" t="s">
        <v>167</v>
      </c>
      <c r="B13" s="45">
        <f>Cost!C35+Cost!C36</f>
        <v>2300000</v>
      </c>
      <c r="C13" s="34">
        <v>0</v>
      </c>
      <c r="D13" s="16" t="s">
        <v>14</v>
      </c>
      <c r="E13" s="16" t="s">
        <v>14</v>
      </c>
      <c r="F13" s="16" t="s">
        <v>14</v>
      </c>
    </row>
    <row r="14" spans="1:6" x14ac:dyDescent="0.25">
      <c r="A14" s="34" t="s">
        <v>194</v>
      </c>
      <c r="B14" s="16">
        <v>0</v>
      </c>
      <c r="C14" s="34">
        <v>0</v>
      </c>
      <c r="D14" s="16">
        <v>0</v>
      </c>
      <c r="E14" s="16">
        <v>0</v>
      </c>
      <c r="F14" s="16" t="s">
        <v>14</v>
      </c>
    </row>
    <row r="15" spans="1:6" x14ac:dyDescent="0.25">
      <c r="A15" s="34"/>
      <c r="B15" s="40"/>
      <c r="C15" s="34"/>
      <c r="D15" s="34"/>
      <c r="E15" s="34"/>
      <c r="F15" s="34"/>
    </row>
    <row r="16" spans="1:6" x14ac:dyDescent="0.25">
      <c r="A16" s="40" t="s">
        <v>15</v>
      </c>
      <c r="B16" s="36">
        <f t="shared" ref="B16:F16" si="0">SUM(B10:B15)</f>
        <v>12212987</v>
      </c>
      <c r="C16" s="36">
        <f t="shared" si="0"/>
        <v>2194684.5099999998</v>
      </c>
      <c r="D16" s="60">
        <f t="shared" si="0"/>
        <v>2127811.140399999</v>
      </c>
      <c r="E16" s="36">
        <f t="shared" si="0"/>
        <v>2221694.7985160025</v>
      </c>
      <c r="F16" s="61">
        <f t="shared" si="0"/>
        <v>2212556.0384418024</v>
      </c>
    </row>
    <row r="17" spans="1:6" x14ac:dyDescent="0.25">
      <c r="A17" s="34"/>
      <c r="B17" s="40"/>
      <c r="C17" s="33"/>
      <c r="D17" s="26"/>
      <c r="E17" s="34"/>
      <c r="F17" s="35"/>
    </row>
    <row r="18" spans="1:6" x14ac:dyDescent="0.25">
      <c r="A18" s="59" t="s">
        <v>116</v>
      </c>
      <c r="B18" s="40"/>
      <c r="C18" s="34"/>
      <c r="D18" s="26"/>
      <c r="E18" s="34"/>
      <c r="F18" s="35"/>
    </row>
    <row r="19" spans="1:6" x14ac:dyDescent="0.25">
      <c r="A19" s="34" t="s">
        <v>158</v>
      </c>
      <c r="B19" s="40">
        <f>Cost!C29</f>
        <v>10209070</v>
      </c>
      <c r="C19" s="34">
        <v>0</v>
      </c>
      <c r="D19" s="16" t="s">
        <v>14</v>
      </c>
      <c r="E19" s="16" t="s">
        <v>14</v>
      </c>
      <c r="F19" s="16" t="s">
        <v>14</v>
      </c>
    </row>
    <row r="20" spans="1:6" x14ac:dyDescent="0.25">
      <c r="A20" s="34" t="s">
        <v>88</v>
      </c>
      <c r="B20" s="45">
        <f>profit!B42</f>
        <v>0</v>
      </c>
      <c r="C20" s="45">
        <f>profit!C42</f>
        <v>0</v>
      </c>
      <c r="D20" s="45">
        <f>profit!D42</f>
        <v>0</v>
      </c>
      <c r="E20" s="45">
        <f>profit!E42</f>
        <v>0</v>
      </c>
      <c r="F20" s="16">
        <f>profit!F42</f>
        <v>0</v>
      </c>
    </row>
    <row r="21" spans="1:6" x14ac:dyDescent="0.25">
      <c r="A21" s="44" t="s">
        <v>207</v>
      </c>
      <c r="B21" s="67">
        <f>profit!B28</f>
        <v>0</v>
      </c>
      <c r="C21" s="67">
        <f>profit!C28</f>
        <v>0</v>
      </c>
      <c r="D21" s="67">
        <f>profit!D28</f>
        <v>0</v>
      </c>
      <c r="E21" s="67">
        <f>profit!E28</f>
        <v>0</v>
      </c>
      <c r="F21" s="16">
        <f>profit!F28</f>
        <v>0</v>
      </c>
    </row>
    <row r="22" spans="1:6" x14ac:dyDescent="0.25">
      <c r="A22" s="34" t="s">
        <v>64</v>
      </c>
      <c r="B22" s="40"/>
      <c r="C22" s="47"/>
      <c r="D22" s="26"/>
      <c r="E22" s="34"/>
      <c r="F22" s="35"/>
    </row>
    <row r="23" spans="1:6" x14ac:dyDescent="0.25">
      <c r="A23" s="34" t="s">
        <v>16</v>
      </c>
      <c r="B23" s="36">
        <f t="shared" ref="B23:F23" si="1">SUM(B19:B21)</f>
        <v>10209070</v>
      </c>
      <c r="C23" s="36">
        <f t="shared" si="1"/>
        <v>0</v>
      </c>
      <c r="D23" s="36">
        <f t="shared" si="1"/>
        <v>0</v>
      </c>
      <c r="E23" s="36">
        <f t="shared" si="1"/>
        <v>0</v>
      </c>
      <c r="F23" s="36">
        <f t="shared" si="1"/>
        <v>0</v>
      </c>
    </row>
    <row r="24" spans="1:6" x14ac:dyDescent="0.25">
      <c r="A24" s="34"/>
      <c r="B24" s="40"/>
      <c r="C24" s="38"/>
      <c r="D24" s="38"/>
      <c r="E24" s="33"/>
      <c r="F24" s="35"/>
    </row>
    <row r="25" spans="1:6" x14ac:dyDescent="0.25">
      <c r="A25" s="34" t="s">
        <v>20</v>
      </c>
      <c r="B25" s="40"/>
      <c r="C25" s="40"/>
      <c r="D25" s="40"/>
      <c r="E25" s="40"/>
      <c r="F25" s="34"/>
    </row>
    <row r="26" spans="1:6" x14ac:dyDescent="0.25">
      <c r="A26" s="34" t="s">
        <v>17</v>
      </c>
      <c r="B26" s="40">
        <v>125500</v>
      </c>
      <c r="C26" s="40">
        <f>B32</f>
        <v>1368307</v>
      </c>
      <c r="D26" s="40">
        <f t="shared" ref="D26:F26" si="2">C32</f>
        <v>3516971.51</v>
      </c>
      <c r="E26" s="40">
        <f t="shared" si="2"/>
        <v>5598732.6503999988</v>
      </c>
      <c r="F26" s="34">
        <f t="shared" si="2"/>
        <v>7745715.4489160012</v>
      </c>
    </row>
    <row r="27" spans="1:6" x14ac:dyDescent="0.25">
      <c r="A27" s="34"/>
      <c r="B27" s="40"/>
      <c r="C27" s="40"/>
      <c r="D27" s="40" t="s">
        <v>13</v>
      </c>
      <c r="E27" s="40"/>
      <c r="F27" s="34"/>
    </row>
    <row r="28" spans="1:6" x14ac:dyDescent="0.25">
      <c r="A28" s="34" t="s">
        <v>18</v>
      </c>
      <c r="B28" s="40">
        <f t="shared" ref="B28:F28" si="3">B16-B23</f>
        <v>2003917</v>
      </c>
      <c r="C28" s="40">
        <f t="shared" si="3"/>
        <v>2194684.5099999998</v>
      </c>
      <c r="D28" s="40">
        <f t="shared" si="3"/>
        <v>2127811.140399999</v>
      </c>
      <c r="E28" s="40">
        <f t="shared" si="3"/>
        <v>2221694.7985160025</v>
      </c>
      <c r="F28" s="34">
        <f t="shared" si="3"/>
        <v>2212556.0384418024</v>
      </c>
    </row>
    <row r="29" spans="1:6" x14ac:dyDescent="0.25">
      <c r="A29" s="34"/>
      <c r="B29" s="40" t="s">
        <v>13</v>
      </c>
      <c r="C29" s="40"/>
      <c r="D29" s="40"/>
      <c r="E29" s="40"/>
      <c r="F29" s="34"/>
    </row>
    <row r="30" spans="1:6" x14ac:dyDescent="0.25">
      <c r="A30" s="34" t="s">
        <v>257</v>
      </c>
      <c r="B30" s="40">
        <v>761110</v>
      </c>
      <c r="C30" s="40">
        <v>46020</v>
      </c>
      <c r="D30" s="40">
        <v>46050</v>
      </c>
      <c r="E30" s="40">
        <v>74712</v>
      </c>
      <c r="F30" s="34">
        <v>46613</v>
      </c>
    </row>
    <row r="31" spans="1:6" x14ac:dyDescent="0.25">
      <c r="A31" s="34"/>
      <c r="B31" s="40"/>
      <c r="C31" s="40"/>
      <c r="D31" s="40"/>
      <c r="E31" s="40"/>
      <c r="F31" s="34"/>
    </row>
    <row r="32" spans="1:6" x14ac:dyDescent="0.25">
      <c r="A32" s="34" t="s">
        <v>258</v>
      </c>
      <c r="B32" s="40">
        <f>B26+B28-B30</f>
        <v>1368307</v>
      </c>
      <c r="C32" s="40">
        <f>C26+C28-C30</f>
        <v>3516971.51</v>
      </c>
      <c r="D32" s="40">
        <f>D26+D28-D30</f>
        <v>5598732.6503999988</v>
      </c>
      <c r="E32" s="40">
        <f>E26+E28-E30</f>
        <v>7745715.4489160012</v>
      </c>
      <c r="F32" s="40">
        <f>F26+F28-F30</f>
        <v>9911658.4873578027</v>
      </c>
    </row>
    <row r="33" spans="1:6" x14ac:dyDescent="0.25">
      <c r="A33" s="47"/>
      <c r="B33" s="41"/>
      <c r="C33" s="47"/>
      <c r="D33" s="58"/>
      <c r="E33" s="47"/>
      <c r="F33" s="42"/>
    </row>
    <row r="34" spans="1:6" x14ac:dyDescent="0.25">
      <c r="B34" s="62"/>
      <c r="C34" s="62"/>
      <c r="D34" s="62"/>
      <c r="E34" s="62"/>
      <c r="F34" s="62"/>
    </row>
  </sheetData>
  <mergeCells count="2">
    <mergeCell ref="A7:A8"/>
    <mergeCell ref="B7:F7"/>
  </mergeCells>
  <phoneticPr fontId="0" type="noConversion"/>
  <printOptions horizontalCentered="1" verticalCentered="1"/>
  <pageMargins left="0.55118110236220474" right="0.23622047244094491" top="0.51181102362204722" bottom="4.2125984251968509" header="0.35433070866141736" footer="0.51181102362204722"/>
  <pageSetup scale="89" orientation="portrait" horizontalDpi="4294967293" verticalDpi="14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29"/>
  <sheetViews>
    <sheetView view="pageBreakPreview" zoomScaleSheetLayoutView="100" workbookViewId="0">
      <selection activeCell="B24" sqref="B24"/>
    </sheetView>
  </sheetViews>
  <sheetFormatPr defaultColWidth="9.109375" defaultRowHeight="13.8" x14ac:dyDescent="0.25"/>
  <cols>
    <col min="1" max="1" width="31.33203125" style="54" customWidth="1"/>
    <col min="2" max="2" width="12.88671875" style="54" bestFit="1" customWidth="1"/>
    <col min="3" max="6" width="14.44140625" style="54" bestFit="1" customWidth="1"/>
    <col min="7" max="7" width="4.109375" style="54" customWidth="1"/>
    <col min="8" max="8" width="9.109375" style="54"/>
    <col min="9" max="9" width="15.6640625" style="54" customWidth="1"/>
    <col min="10" max="10" width="16.88671875" style="54" bestFit="1" customWidth="1"/>
    <col min="11" max="16384" width="9.109375" style="54"/>
  </cols>
  <sheetData>
    <row r="1" spans="1:6" x14ac:dyDescent="0.25">
      <c r="A1" s="53" t="str">
        <f>Cash!A1</f>
        <v>Ayan Sharma</v>
      </c>
    </row>
    <row r="3" spans="1:6" x14ac:dyDescent="0.25">
      <c r="A3" s="53"/>
    </row>
    <row r="4" spans="1:6" x14ac:dyDescent="0.25">
      <c r="A4" s="96" t="s">
        <v>135</v>
      </c>
      <c r="B4" s="53"/>
    </row>
    <row r="5" spans="1:6" x14ac:dyDescent="0.25">
      <c r="A5" s="96"/>
      <c r="B5" s="53"/>
    </row>
    <row r="6" spans="1:6" x14ac:dyDescent="0.25">
      <c r="A6" s="96" t="s">
        <v>69</v>
      </c>
      <c r="B6" s="53"/>
    </row>
    <row r="7" spans="1:6" x14ac:dyDescent="0.25">
      <c r="A7" s="97"/>
      <c r="B7" s="55"/>
    </row>
    <row r="8" spans="1:6" x14ac:dyDescent="0.25">
      <c r="A8" s="204" t="s">
        <v>4</v>
      </c>
      <c r="B8" s="201" t="s">
        <v>105</v>
      </c>
      <c r="C8" s="202"/>
      <c r="D8" s="202"/>
      <c r="E8" s="202"/>
      <c r="F8" s="203"/>
    </row>
    <row r="9" spans="1:6" s="56" customFormat="1" x14ac:dyDescent="0.25">
      <c r="A9" s="205"/>
      <c r="B9" s="27">
        <v>2026</v>
      </c>
      <c r="C9" s="27">
        <v>2027</v>
      </c>
      <c r="D9" s="27">
        <v>2028</v>
      </c>
      <c r="E9" s="27">
        <v>2029</v>
      </c>
      <c r="F9" s="27">
        <v>2030</v>
      </c>
    </row>
    <row r="10" spans="1:6" x14ac:dyDescent="0.25">
      <c r="A10" s="40"/>
      <c r="B10" s="40"/>
      <c r="C10" s="33"/>
      <c r="D10" s="26"/>
      <c r="E10" s="33"/>
      <c r="F10" s="35"/>
    </row>
    <row r="11" spans="1:6" x14ac:dyDescent="0.25">
      <c r="A11" s="59" t="s">
        <v>113</v>
      </c>
      <c r="B11" s="57"/>
      <c r="C11" s="34"/>
      <c r="D11" s="26"/>
      <c r="E11" s="34"/>
      <c r="F11" s="35"/>
    </row>
    <row r="12" spans="1:6" x14ac:dyDescent="0.25">
      <c r="A12" s="34" t="s">
        <v>93</v>
      </c>
      <c r="B12" s="34">
        <f>Cost!C34+Cost!C33</f>
        <v>7609070</v>
      </c>
      <c r="C12" s="34">
        <f>B12</f>
        <v>7609070</v>
      </c>
      <c r="D12" s="26">
        <f>+C12</f>
        <v>7609070</v>
      </c>
      <c r="E12" s="34">
        <f>+D12</f>
        <v>7609070</v>
      </c>
      <c r="F12" s="35">
        <f>+E12</f>
        <v>7609070</v>
      </c>
    </row>
    <row r="13" spans="1:6" x14ac:dyDescent="0.25">
      <c r="A13" s="34" t="s">
        <v>94</v>
      </c>
      <c r="B13" s="34">
        <f>profit!B36</f>
        <v>1049999.5</v>
      </c>
      <c r="C13" s="34">
        <f>B13+profit!C36</f>
        <v>2178854.1349999998</v>
      </c>
      <c r="D13" s="34">
        <f>C13+profit!D36</f>
        <v>3400709.8816499989</v>
      </c>
      <c r="E13" s="34">
        <f>D13+profit!E36</f>
        <v>4852342.5954785012</v>
      </c>
      <c r="F13" s="34">
        <f>E13+profit!F36</f>
        <v>6410345.8619359285</v>
      </c>
    </row>
    <row r="14" spans="1:6" x14ac:dyDescent="0.25">
      <c r="A14" s="34" t="s">
        <v>204</v>
      </c>
      <c r="B14" s="34"/>
      <c r="C14" s="34"/>
      <c r="D14" s="26"/>
      <c r="E14" s="34"/>
      <c r="F14" s="34"/>
    </row>
    <row r="15" spans="1:6" x14ac:dyDescent="0.25">
      <c r="A15" s="34" t="s">
        <v>255</v>
      </c>
      <c r="B15" s="34">
        <v>165000</v>
      </c>
      <c r="C15" s="34">
        <v>225000</v>
      </c>
      <c r="D15" s="26">
        <v>265000</v>
      </c>
      <c r="E15" s="34">
        <v>300000</v>
      </c>
      <c r="F15" s="34">
        <v>350000</v>
      </c>
    </row>
    <row r="16" spans="1:6" x14ac:dyDescent="0.25">
      <c r="A16" s="34" t="s">
        <v>256</v>
      </c>
      <c r="B16" s="34"/>
      <c r="C16" s="34"/>
      <c r="D16" s="34"/>
      <c r="E16" s="34"/>
      <c r="F16" s="34"/>
    </row>
    <row r="17" spans="1:13" x14ac:dyDescent="0.25">
      <c r="A17" s="34"/>
      <c r="B17" s="47"/>
      <c r="C17" s="47"/>
      <c r="D17" s="26"/>
      <c r="E17" s="47"/>
      <c r="F17" s="35"/>
    </row>
    <row r="18" spans="1:13" x14ac:dyDescent="0.25">
      <c r="A18" s="34" t="s">
        <v>70</v>
      </c>
      <c r="B18" s="36">
        <f>SUM(B12:B17)</f>
        <v>8824069.5</v>
      </c>
      <c r="C18" s="36">
        <f>SUM(C12:C17)</f>
        <v>10012924.135</v>
      </c>
      <c r="D18" s="36">
        <f>SUM(D12:D17)</f>
        <v>11274779.881649999</v>
      </c>
      <c r="E18" s="36">
        <f>SUM(E12:E17)</f>
        <v>12761412.595478501</v>
      </c>
      <c r="F18" s="36">
        <f>SUM(F12:F17)</f>
        <v>14369415.861935928</v>
      </c>
    </row>
    <row r="19" spans="1:13" x14ac:dyDescent="0.25">
      <c r="A19" s="34"/>
      <c r="B19" s="34"/>
      <c r="C19" s="34"/>
      <c r="D19" s="26"/>
      <c r="E19" s="34"/>
      <c r="F19" s="35"/>
    </row>
    <row r="20" spans="1:13" x14ac:dyDescent="0.25">
      <c r="A20" s="34"/>
      <c r="B20" s="34"/>
      <c r="C20" s="34"/>
      <c r="D20" s="26"/>
      <c r="E20" s="40"/>
      <c r="F20" s="34"/>
    </row>
    <row r="21" spans="1:13" x14ac:dyDescent="0.25">
      <c r="A21" s="59" t="s">
        <v>114</v>
      </c>
      <c r="B21" s="34"/>
      <c r="C21" s="34"/>
      <c r="D21" s="26"/>
      <c r="E21" s="34"/>
      <c r="F21" s="35"/>
      <c r="I21" s="54">
        <f>B26-B18</f>
        <v>0</v>
      </c>
      <c r="J21" s="54">
        <v>681630</v>
      </c>
      <c r="K21" s="54">
        <v>727680</v>
      </c>
      <c r="L21" s="54">
        <v>802392</v>
      </c>
      <c r="M21" s="54">
        <v>849005</v>
      </c>
    </row>
    <row r="22" spans="1:13" x14ac:dyDescent="0.25">
      <c r="A22" s="173" t="s">
        <v>95</v>
      </c>
      <c r="B22" s="34">
        <f>Depr.!B19</f>
        <v>7105532.5</v>
      </c>
      <c r="C22" s="34">
        <f>Depr.!C19</f>
        <v>6039702.625</v>
      </c>
      <c r="D22" s="34">
        <f>Depr.!D19</f>
        <v>5133747.2312500002</v>
      </c>
      <c r="E22" s="34">
        <f>Depr.!E19</f>
        <v>4363685.1465624999</v>
      </c>
      <c r="F22" s="34">
        <f>Depr.!F19</f>
        <v>3709132.3745781248</v>
      </c>
      <c r="I22" s="54">
        <f>C26-C18</f>
        <v>0</v>
      </c>
    </row>
    <row r="23" spans="1:13" x14ac:dyDescent="0.25">
      <c r="A23" s="173" t="s">
        <v>226</v>
      </c>
      <c r="B23" s="40">
        <v>350230</v>
      </c>
      <c r="C23" s="40">
        <v>456250</v>
      </c>
      <c r="D23" s="40">
        <v>542300</v>
      </c>
      <c r="E23" s="40">
        <v>652012</v>
      </c>
      <c r="F23" s="34">
        <v>748625</v>
      </c>
      <c r="I23" s="54">
        <f>D26-D18</f>
        <v>0</v>
      </c>
    </row>
    <row r="24" spans="1:13" x14ac:dyDescent="0.25">
      <c r="A24" s="173" t="s">
        <v>96</v>
      </c>
      <c r="B24" s="40">
        <f>+Cash!B32</f>
        <v>1368307</v>
      </c>
      <c r="C24" s="40">
        <f>+Cash!C32</f>
        <v>3516971.51</v>
      </c>
      <c r="D24" s="40">
        <f>+Cash!D32</f>
        <v>5598732.6503999988</v>
      </c>
      <c r="E24" s="40">
        <f>+Cash!E32</f>
        <v>7745715.4489160012</v>
      </c>
      <c r="F24" s="34">
        <f>+Cash!F32</f>
        <v>9911658.4873578027</v>
      </c>
      <c r="I24" s="54">
        <f>E26-E18</f>
        <v>0</v>
      </c>
    </row>
    <row r="25" spans="1:13" x14ac:dyDescent="0.25">
      <c r="A25" s="47" t="s">
        <v>64</v>
      </c>
      <c r="B25" s="47"/>
      <c r="C25" s="47"/>
      <c r="D25" s="58"/>
      <c r="E25" s="47"/>
      <c r="F25" s="42"/>
      <c r="I25" s="54">
        <f>F26-F18</f>
        <v>0</v>
      </c>
    </row>
    <row r="26" spans="1:13" x14ac:dyDescent="0.25">
      <c r="A26" s="47" t="s">
        <v>19</v>
      </c>
      <c r="B26" s="47">
        <f>SUM(B22:B25)</f>
        <v>8824069.5</v>
      </c>
      <c r="C26" s="47">
        <f>SUM(C22:C25)</f>
        <v>10012924.135</v>
      </c>
      <c r="D26" s="47">
        <f>SUM(D22:D25)</f>
        <v>11274779.881649999</v>
      </c>
      <c r="E26" s="47">
        <f>SUM(E22:E25)</f>
        <v>12761412.595478501</v>
      </c>
      <c r="F26" s="47">
        <f>SUM(F22:F25)</f>
        <v>14369415.861935928</v>
      </c>
    </row>
    <row r="29" spans="1:13" x14ac:dyDescent="0.25">
      <c r="B29" s="54">
        <f>B18-B26</f>
        <v>0</v>
      </c>
      <c r="C29" s="54">
        <f>C18-C26</f>
        <v>0</v>
      </c>
      <c r="D29" s="54">
        <f>D18-D26</f>
        <v>0</v>
      </c>
      <c r="E29" s="54">
        <f>E18-E26</f>
        <v>0</v>
      </c>
      <c r="F29" s="54">
        <f>F18-F26</f>
        <v>0</v>
      </c>
    </row>
  </sheetData>
  <mergeCells count="2">
    <mergeCell ref="A8:A9"/>
    <mergeCell ref="B8:F8"/>
  </mergeCells>
  <phoneticPr fontId="0" type="noConversion"/>
  <printOptions horizontalCentered="1"/>
  <pageMargins left="0.74803149606299213" right="0.86614173228346458" top="0.6692913385826772" bottom="1.8897637795275593" header="0.51181102362204722" footer="0.51181102362204722"/>
  <pageSetup scale="84" orientation="portrait" horizontalDpi="4294967293" verticalDpi="144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22"/>
  <sheetViews>
    <sheetView view="pageBreakPreview" zoomScaleSheetLayoutView="100" workbookViewId="0">
      <selection activeCell="B14" sqref="B14"/>
    </sheetView>
  </sheetViews>
  <sheetFormatPr defaultColWidth="9.109375" defaultRowHeight="13.8" x14ac:dyDescent="0.25"/>
  <cols>
    <col min="1" max="1" width="35.88671875" style="2" customWidth="1"/>
    <col min="2" max="4" width="14.44140625" style="2" bestFit="1" customWidth="1"/>
    <col min="5" max="6" width="12.88671875" style="2" bestFit="1" customWidth="1"/>
    <col min="7" max="7" width="3.44140625" style="2" customWidth="1"/>
    <col min="8" max="16384" width="9.109375" style="2"/>
  </cols>
  <sheetData>
    <row r="1" spans="1:6" x14ac:dyDescent="0.25">
      <c r="A1" s="206" t="str">
        <f>B.sheet!A1</f>
        <v>Ayan Sharma</v>
      </c>
      <c r="B1" s="194"/>
      <c r="C1" s="194"/>
      <c r="D1" s="194"/>
      <c r="E1" s="194"/>
      <c r="F1" s="194"/>
    </row>
    <row r="2" spans="1:6" x14ac:dyDescent="0.25">
      <c r="A2" s="207"/>
      <c r="B2" s="208"/>
      <c r="C2" s="208"/>
      <c r="D2" s="208"/>
      <c r="E2" s="208"/>
      <c r="F2" s="208"/>
    </row>
    <row r="3" spans="1:6" x14ac:dyDescent="0.25">
      <c r="A3" s="22"/>
      <c r="B3" s="22"/>
      <c r="C3" s="22"/>
      <c r="D3" s="22"/>
      <c r="E3" s="22"/>
      <c r="F3" s="22"/>
    </row>
    <row r="4" spans="1:6" x14ac:dyDescent="0.25">
      <c r="A4" s="1" t="s">
        <v>76</v>
      </c>
      <c r="B4" s="1"/>
    </row>
    <row r="6" spans="1:6" x14ac:dyDescent="0.25">
      <c r="A6" s="1" t="s">
        <v>43</v>
      </c>
      <c r="B6" s="89"/>
    </row>
    <row r="7" spans="1:6" x14ac:dyDescent="0.25">
      <c r="A7" s="189" t="s">
        <v>4</v>
      </c>
      <c r="B7" s="209" t="s">
        <v>106</v>
      </c>
      <c r="C7" s="209"/>
      <c r="D7" s="209"/>
      <c r="E7" s="209"/>
      <c r="F7" s="209"/>
    </row>
    <row r="8" spans="1:6" x14ac:dyDescent="0.25">
      <c r="A8" s="190"/>
      <c r="B8" s="27">
        <v>2026</v>
      </c>
      <c r="C8" s="27">
        <v>2027</v>
      </c>
      <c r="D8" s="27">
        <v>2028</v>
      </c>
      <c r="E8" s="27">
        <v>2029</v>
      </c>
      <c r="F8" s="27">
        <v>2030</v>
      </c>
    </row>
    <row r="9" spans="1:6" x14ac:dyDescent="0.25">
      <c r="A9" s="20"/>
      <c r="B9" s="16"/>
      <c r="C9" s="52"/>
      <c r="D9" s="11"/>
      <c r="E9" s="45"/>
      <c r="F9" s="16"/>
    </row>
    <row r="10" spans="1:6" x14ac:dyDescent="0.25">
      <c r="A10" s="20" t="s">
        <v>225</v>
      </c>
      <c r="B10" s="16">
        <f>Cost!B23</f>
        <v>0</v>
      </c>
      <c r="C10" s="52">
        <f t="shared" ref="C10:F10" si="0">+B10-B11</f>
        <v>0</v>
      </c>
      <c r="D10" s="11">
        <f t="shared" si="0"/>
        <v>0</v>
      </c>
      <c r="E10" s="45">
        <f t="shared" si="0"/>
        <v>0</v>
      </c>
      <c r="F10" s="16">
        <f t="shared" si="0"/>
        <v>0</v>
      </c>
    </row>
    <row r="11" spans="1:6" x14ac:dyDescent="0.25">
      <c r="A11" s="20" t="s">
        <v>157</v>
      </c>
      <c r="B11" s="16">
        <f>+B10*10%</f>
        <v>0</v>
      </c>
      <c r="C11" s="16">
        <f>+C10*10%</f>
        <v>0</v>
      </c>
      <c r="D11" s="16">
        <f t="shared" ref="D11:F11" si="1">+D10*10%</f>
        <v>0</v>
      </c>
      <c r="E11" s="16">
        <f t="shared" si="1"/>
        <v>0</v>
      </c>
      <c r="F11" s="16">
        <f t="shared" si="1"/>
        <v>0</v>
      </c>
    </row>
    <row r="12" spans="1:6" x14ac:dyDescent="0.25">
      <c r="A12" s="20" t="s">
        <v>81</v>
      </c>
      <c r="B12" s="16">
        <f t="shared" ref="B12:F12" si="2">B10-B11</f>
        <v>0</v>
      </c>
      <c r="C12" s="16">
        <f t="shared" si="2"/>
        <v>0</v>
      </c>
      <c r="D12" s="52">
        <f t="shared" si="2"/>
        <v>0</v>
      </c>
      <c r="E12" s="16">
        <f t="shared" si="2"/>
        <v>0</v>
      </c>
      <c r="F12" s="16">
        <f t="shared" si="2"/>
        <v>0</v>
      </c>
    </row>
    <row r="13" spans="1:6" x14ac:dyDescent="0.25">
      <c r="A13" s="20"/>
      <c r="B13" s="16"/>
      <c r="C13" s="52"/>
      <c r="D13" s="11"/>
      <c r="E13" s="45"/>
      <c r="F13" s="16"/>
    </row>
    <row r="14" spans="1:6" x14ac:dyDescent="0.25">
      <c r="A14" s="20" t="str">
        <f>Cost!A18</f>
        <v>Machinery &amp; Equipments</v>
      </c>
      <c r="B14" s="16">
        <f>3400000+4959450</f>
        <v>8359450</v>
      </c>
      <c r="C14" s="52">
        <f t="shared" ref="C14:F14" si="3">+B14-B15</f>
        <v>7105532.5</v>
      </c>
      <c r="D14" s="11">
        <f t="shared" si="3"/>
        <v>6039702.625</v>
      </c>
      <c r="E14" s="45">
        <f t="shared" si="3"/>
        <v>5133747.2312500002</v>
      </c>
      <c r="F14" s="16">
        <f t="shared" si="3"/>
        <v>4363685.1465624999</v>
      </c>
    </row>
    <row r="15" spans="1:6" x14ac:dyDescent="0.25">
      <c r="A15" s="20" t="s">
        <v>87</v>
      </c>
      <c r="B15" s="16">
        <f>+B14*15%</f>
        <v>1253917.5</v>
      </c>
      <c r="C15" s="16">
        <f>+C14*15%</f>
        <v>1065829.875</v>
      </c>
      <c r="D15" s="16">
        <f t="shared" ref="D15:F15" si="4">+D14*15%</f>
        <v>905955.39374999993</v>
      </c>
      <c r="E15" s="16">
        <f t="shared" si="4"/>
        <v>770062.08468750003</v>
      </c>
      <c r="F15" s="16">
        <f t="shared" si="4"/>
        <v>654552.77198437497</v>
      </c>
    </row>
    <row r="16" spans="1:6" x14ac:dyDescent="0.25">
      <c r="A16" s="20" t="s">
        <v>81</v>
      </c>
      <c r="B16" s="16">
        <f t="shared" ref="B16:F16" si="5">B14-B15</f>
        <v>7105532.5</v>
      </c>
      <c r="C16" s="16">
        <f t="shared" si="5"/>
        <v>6039702.625</v>
      </c>
      <c r="D16" s="52">
        <f t="shared" si="5"/>
        <v>5133747.2312500002</v>
      </c>
      <c r="E16" s="16">
        <f t="shared" si="5"/>
        <v>4363685.1465624999</v>
      </c>
      <c r="F16" s="16">
        <f t="shared" si="5"/>
        <v>3709132.3745781248</v>
      </c>
    </row>
    <row r="17" spans="1:6" x14ac:dyDescent="0.25">
      <c r="A17" s="20"/>
      <c r="B17" s="16"/>
      <c r="C17" s="52"/>
      <c r="D17" s="11"/>
      <c r="E17" s="45"/>
      <c r="F17" s="16"/>
    </row>
    <row r="18" spans="1:6" x14ac:dyDescent="0.25">
      <c r="A18" s="20"/>
      <c r="B18" s="16"/>
      <c r="C18" s="52"/>
      <c r="D18" s="11"/>
      <c r="E18" s="45"/>
      <c r="F18" s="16"/>
    </row>
    <row r="19" spans="1:6" x14ac:dyDescent="0.25">
      <c r="A19" s="20" t="s">
        <v>78</v>
      </c>
      <c r="B19" s="16">
        <f>B12+B16</f>
        <v>7105532.5</v>
      </c>
      <c r="C19" s="16">
        <f t="shared" ref="C19:F19" si="6">C12+C16</f>
        <v>6039702.625</v>
      </c>
      <c r="D19" s="16">
        <f t="shared" si="6"/>
        <v>5133747.2312500002</v>
      </c>
      <c r="E19" s="16">
        <f t="shared" si="6"/>
        <v>4363685.1465624999</v>
      </c>
      <c r="F19" s="16">
        <f t="shared" si="6"/>
        <v>3709132.3745781248</v>
      </c>
    </row>
    <row r="20" spans="1:6" x14ac:dyDescent="0.25">
      <c r="A20" s="44"/>
      <c r="B20" s="16"/>
      <c r="C20" s="16"/>
      <c r="D20" s="16"/>
      <c r="E20" s="16"/>
      <c r="F20" s="16"/>
    </row>
    <row r="21" spans="1:6" x14ac:dyDescent="0.25">
      <c r="A21" s="20"/>
      <c r="B21" s="16"/>
      <c r="C21" s="16"/>
      <c r="D21" s="16"/>
      <c r="E21" s="16"/>
      <c r="F21" s="16"/>
    </row>
    <row r="22" spans="1:6" x14ac:dyDescent="0.25">
      <c r="A22" s="37" t="s">
        <v>58</v>
      </c>
      <c r="B22" s="28">
        <f>B11+B15</f>
        <v>1253917.5</v>
      </c>
      <c r="C22" s="28">
        <f t="shared" ref="C22:F22" si="7">C11+C15</f>
        <v>1065829.875</v>
      </c>
      <c r="D22" s="28">
        <f t="shared" si="7"/>
        <v>905955.39374999993</v>
      </c>
      <c r="E22" s="28">
        <f t="shared" si="7"/>
        <v>770062.08468750003</v>
      </c>
      <c r="F22" s="28">
        <f t="shared" si="7"/>
        <v>654552.77198437497</v>
      </c>
    </row>
  </sheetData>
  <mergeCells count="4">
    <mergeCell ref="A1:F1"/>
    <mergeCell ref="A2:F2"/>
    <mergeCell ref="A7:A8"/>
    <mergeCell ref="B7:F7"/>
  </mergeCells>
  <phoneticPr fontId="0" type="noConversion"/>
  <printOptions horizontalCentered="1"/>
  <pageMargins left="0.82677165354330717" right="0.98425196850393704" top="0.59055118110236227" bottom="2.9921259842519685" header="0.51181102362204722" footer="0.51181102362204722"/>
  <pageSetup scale="80" orientation="portrait" horizontalDpi="4294967293" verticalDpi="144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0"/>
  <sheetViews>
    <sheetView view="pageBreakPreview" topLeftCell="A13" zoomScaleSheetLayoutView="100" workbookViewId="0">
      <selection activeCell="C25" sqref="C25"/>
    </sheetView>
  </sheetViews>
  <sheetFormatPr defaultColWidth="9.109375" defaultRowHeight="13.8" x14ac:dyDescent="0.25"/>
  <cols>
    <col min="1" max="1" width="32" style="2" customWidth="1"/>
    <col min="2" max="6" width="14.44140625" style="2" bestFit="1" customWidth="1"/>
    <col min="7" max="7" width="2.109375" style="2" customWidth="1"/>
    <col min="8" max="16384" width="9.109375" style="2"/>
  </cols>
  <sheetData>
    <row r="1" spans="1:6" x14ac:dyDescent="0.25">
      <c r="A1" s="1" t="str">
        <f>Depr.!A1</f>
        <v>Ayan Sharma</v>
      </c>
    </row>
    <row r="2" spans="1:6" x14ac:dyDescent="0.25">
      <c r="A2" s="17"/>
    </row>
    <row r="3" spans="1:6" x14ac:dyDescent="0.25">
      <c r="A3" s="1"/>
    </row>
    <row r="4" spans="1:6" x14ac:dyDescent="0.25">
      <c r="A4" s="1" t="s">
        <v>40</v>
      </c>
    </row>
    <row r="6" spans="1:6" x14ac:dyDescent="0.25">
      <c r="A6" s="1" t="s">
        <v>44</v>
      </c>
    </row>
    <row r="7" spans="1:6" x14ac:dyDescent="0.25">
      <c r="A7" s="189"/>
      <c r="B7" s="196" t="s">
        <v>108</v>
      </c>
      <c r="C7" s="197"/>
      <c r="D7" s="197"/>
      <c r="E7" s="197"/>
      <c r="F7" s="198"/>
    </row>
    <row r="8" spans="1:6" x14ac:dyDescent="0.25">
      <c r="A8" s="190"/>
      <c r="B8" s="27">
        <v>2026</v>
      </c>
      <c r="C8" s="27">
        <v>2027</v>
      </c>
      <c r="D8" s="27">
        <v>2028</v>
      </c>
      <c r="E8" s="27">
        <v>2029</v>
      </c>
      <c r="F8" s="27">
        <v>2030</v>
      </c>
    </row>
    <row r="9" spans="1:6" x14ac:dyDescent="0.25">
      <c r="A9" s="20" t="s">
        <v>107</v>
      </c>
      <c r="B9" s="40">
        <f>profit!B9</f>
        <v>15811417</v>
      </c>
      <c r="C9" s="40">
        <f>profit!C9</f>
        <v>16285759.51</v>
      </c>
      <c r="D9" s="40">
        <f>profit!D9</f>
        <v>16937189.8904</v>
      </c>
      <c r="E9" s="40">
        <f>profit!E9</f>
        <v>17614677.486016002</v>
      </c>
      <c r="F9" s="33">
        <f>profit!F9</f>
        <v>18495411.360316802</v>
      </c>
    </row>
    <row r="10" spans="1:6" x14ac:dyDescent="0.25">
      <c r="A10" s="20"/>
      <c r="B10" s="44"/>
      <c r="D10" s="44"/>
      <c r="E10" s="32"/>
      <c r="F10" s="44"/>
    </row>
    <row r="11" spans="1:6" x14ac:dyDescent="0.25">
      <c r="A11" s="20" t="s">
        <v>111</v>
      </c>
      <c r="B11" s="48">
        <f>profit!B22</f>
        <v>14761417.5</v>
      </c>
      <c r="C11" s="48">
        <f>profit!C22</f>
        <v>15156904.875</v>
      </c>
      <c r="D11" s="48">
        <f>profit!D22</f>
        <v>15715334.143750001</v>
      </c>
      <c r="E11" s="48">
        <f>profit!E22</f>
        <v>16163044.772187499</v>
      </c>
      <c r="F11" s="48">
        <f>profit!F22</f>
        <v>16937408.093859375</v>
      </c>
    </row>
    <row r="12" spans="1:6" x14ac:dyDescent="0.25">
      <c r="A12" s="20"/>
      <c r="B12" s="23"/>
      <c r="C12" s="43"/>
      <c r="D12" s="43"/>
      <c r="E12" s="29"/>
      <c r="F12" s="43"/>
    </row>
    <row r="13" spans="1:6" x14ac:dyDescent="0.25">
      <c r="A13" s="20"/>
      <c r="B13" s="44"/>
      <c r="D13" s="44"/>
      <c r="E13" s="32"/>
      <c r="F13" s="44"/>
    </row>
    <row r="14" spans="1:6" x14ac:dyDescent="0.25">
      <c r="A14" s="20" t="s">
        <v>112</v>
      </c>
      <c r="B14" s="44"/>
      <c r="D14" s="44"/>
      <c r="E14" s="32"/>
      <c r="F14" s="44"/>
    </row>
    <row r="15" spans="1:6" x14ac:dyDescent="0.25">
      <c r="A15" s="20" t="s">
        <v>5</v>
      </c>
      <c r="B15" s="45">
        <f>Depr.!B22</f>
        <v>1253917.5</v>
      </c>
      <c r="C15" s="45">
        <f>Depr.!C22</f>
        <v>1065829.875</v>
      </c>
      <c r="D15" s="45">
        <f>Depr.!D22</f>
        <v>905955.39374999993</v>
      </c>
      <c r="E15" s="45">
        <f>Depr.!E22</f>
        <v>770062.08468750003</v>
      </c>
      <c r="F15" s="16">
        <f>Depr.!F22</f>
        <v>654552.77198437497</v>
      </c>
    </row>
    <row r="16" spans="1:6" x14ac:dyDescent="0.25">
      <c r="A16" s="20" t="s">
        <v>208</v>
      </c>
      <c r="B16" s="49">
        <f>profit!B28</f>
        <v>0</v>
      </c>
      <c r="C16" s="49">
        <f>profit!C28</f>
        <v>0</v>
      </c>
      <c r="D16" s="49">
        <f>profit!D28</f>
        <v>0</v>
      </c>
      <c r="E16" s="49">
        <f>profit!E28</f>
        <v>0</v>
      </c>
      <c r="F16" s="49">
        <f>profit!F28</f>
        <v>0</v>
      </c>
    </row>
    <row r="17" spans="1:6" x14ac:dyDescent="0.25">
      <c r="A17" s="20" t="s">
        <v>97</v>
      </c>
      <c r="B17" s="49">
        <f>profit!B30</f>
        <v>0</v>
      </c>
      <c r="C17" s="49">
        <f>profit!C30</f>
        <v>0</v>
      </c>
      <c r="D17" s="49">
        <f>profit!D30</f>
        <v>0</v>
      </c>
      <c r="E17" s="49">
        <f>profit!E30</f>
        <v>0</v>
      </c>
      <c r="F17" s="49">
        <f>profit!F30</f>
        <v>0</v>
      </c>
    </row>
    <row r="18" spans="1:6" x14ac:dyDescent="0.25">
      <c r="A18" s="20"/>
      <c r="B18" s="48">
        <f t="shared" ref="B18:F18" si="0">SUM(B15:B17)</f>
        <v>1253917.5</v>
      </c>
      <c r="C18" s="48">
        <f t="shared" si="0"/>
        <v>1065829.875</v>
      </c>
      <c r="D18" s="48">
        <f t="shared" si="0"/>
        <v>905955.39374999993</v>
      </c>
      <c r="E18" s="48">
        <f t="shared" si="0"/>
        <v>770062.08468750003</v>
      </c>
      <c r="F18" s="48">
        <f t="shared" si="0"/>
        <v>654552.77198437497</v>
      </c>
    </row>
    <row r="19" spans="1:6" x14ac:dyDescent="0.25">
      <c r="A19" s="20"/>
      <c r="B19" s="44"/>
      <c r="D19" s="44"/>
      <c r="E19" s="32"/>
      <c r="F19" s="44"/>
    </row>
    <row r="20" spans="1:6" x14ac:dyDescent="0.25">
      <c r="A20" s="20" t="s">
        <v>59</v>
      </c>
      <c r="B20" s="49">
        <f t="shared" ref="B20:F20" si="1" xml:space="preserve"> B9 - B11</f>
        <v>1049999.5</v>
      </c>
      <c r="C20" s="49">
        <f t="shared" si="1"/>
        <v>1128854.6349999998</v>
      </c>
      <c r="D20" s="49">
        <f t="shared" si="1"/>
        <v>1221855.7466499992</v>
      </c>
      <c r="E20" s="49">
        <f t="shared" si="1"/>
        <v>1451632.7138285022</v>
      </c>
      <c r="F20" s="49">
        <f t="shared" si="1"/>
        <v>1558003.2664574273</v>
      </c>
    </row>
    <row r="21" spans="1:6" x14ac:dyDescent="0.25">
      <c r="A21" s="20"/>
      <c r="B21" s="49"/>
      <c r="C21" s="49"/>
      <c r="D21" s="49"/>
      <c r="E21" s="49"/>
      <c r="F21" s="49"/>
    </row>
    <row r="22" spans="1:6" x14ac:dyDescent="0.25">
      <c r="A22" s="20" t="s">
        <v>60</v>
      </c>
      <c r="B22" s="49">
        <f t="shared" ref="B22:F22" si="2">B20/B9*100</f>
        <v>6.6407678704571511</v>
      </c>
      <c r="C22" s="49">
        <f t="shared" si="2"/>
        <v>6.9315442998335168</v>
      </c>
      <c r="D22" s="49">
        <f t="shared" si="2"/>
        <v>7.2140405495633431</v>
      </c>
      <c r="E22" s="49">
        <f t="shared" si="2"/>
        <v>8.2410405469014645</v>
      </c>
      <c r="F22" s="49">
        <f t="shared" si="2"/>
        <v>8.4237286541257053</v>
      </c>
    </row>
    <row r="23" spans="1:6" x14ac:dyDescent="0.25">
      <c r="A23" s="20"/>
      <c r="B23" s="49"/>
      <c r="C23" s="49"/>
      <c r="D23" s="49"/>
      <c r="E23" s="49"/>
      <c r="F23" s="49"/>
    </row>
    <row r="24" spans="1:6" x14ac:dyDescent="0.25">
      <c r="A24" s="20" t="s">
        <v>61</v>
      </c>
      <c r="B24" s="44"/>
      <c r="C24" s="44"/>
      <c r="D24" s="44"/>
      <c r="E24" s="44"/>
      <c r="F24" s="44"/>
    </row>
    <row r="25" spans="1:6" x14ac:dyDescent="0.25">
      <c r="A25" s="20" t="s">
        <v>62</v>
      </c>
      <c r="B25" s="49">
        <f t="shared" ref="B25:F25" si="3">B18/B22*100</f>
        <v>18882116.111576721</v>
      </c>
      <c r="C25" s="49">
        <f t="shared" si="3"/>
        <v>15376513.932481097</v>
      </c>
      <c r="D25" s="49">
        <f t="shared" si="3"/>
        <v>12558224.306139175</v>
      </c>
      <c r="E25" s="49">
        <f t="shared" si="3"/>
        <v>9344233.6596321482</v>
      </c>
      <c r="F25" s="49">
        <f t="shared" si="3"/>
        <v>7770344.9251513276</v>
      </c>
    </row>
    <row r="26" spans="1:6" x14ac:dyDescent="0.25">
      <c r="A26" s="20"/>
      <c r="B26" s="49"/>
      <c r="C26" s="49"/>
      <c r="D26" s="49"/>
      <c r="E26" s="49"/>
      <c r="F26" s="49"/>
    </row>
    <row r="27" spans="1:6" x14ac:dyDescent="0.25">
      <c r="A27" s="20" t="s">
        <v>98</v>
      </c>
      <c r="B27" s="49">
        <f t="shared" ref="B27:F27" si="4">(B18-B15)/B22*100</f>
        <v>0</v>
      </c>
      <c r="C27" s="49">
        <f t="shared" si="4"/>
        <v>0</v>
      </c>
      <c r="D27" s="49">
        <f t="shared" si="4"/>
        <v>0</v>
      </c>
      <c r="E27" s="49">
        <f t="shared" si="4"/>
        <v>0</v>
      </c>
      <c r="F27" s="49">
        <f t="shared" si="4"/>
        <v>0</v>
      </c>
    </row>
    <row r="28" spans="1:6" x14ac:dyDescent="0.25">
      <c r="A28" s="20" t="s">
        <v>77</v>
      </c>
      <c r="B28" s="49"/>
      <c r="C28" s="50"/>
      <c r="D28" s="49"/>
      <c r="E28" s="51"/>
      <c r="F28" s="49"/>
    </row>
    <row r="29" spans="1:6" x14ac:dyDescent="0.25">
      <c r="A29" s="24"/>
      <c r="B29" s="37"/>
      <c r="C29" s="30"/>
      <c r="D29" s="37"/>
      <c r="E29" s="31"/>
      <c r="F29" s="37"/>
    </row>
    <row r="30" spans="1:6" ht="7.5" customHeight="1" x14ac:dyDescent="0.25"/>
  </sheetData>
  <mergeCells count="2">
    <mergeCell ref="A7:A8"/>
    <mergeCell ref="B7:F7"/>
  </mergeCells>
  <phoneticPr fontId="0" type="noConversion"/>
  <printOptions horizontalCentered="1"/>
  <pageMargins left="0.36" right="0" top="1" bottom="1" header="0.5" footer="0.5"/>
  <pageSetup scale="81" orientation="portrait" horizontalDpi="4294967293" verticalDpi="144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2"/>
  <sheetViews>
    <sheetView view="pageBreakPreview" topLeftCell="A4" zoomScaleSheetLayoutView="100" workbookViewId="0">
      <selection activeCell="F16" sqref="F16"/>
    </sheetView>
  </sheetViews>
  <sheetFormatPr defaultColWidth="9.109375" defaultRowHeight="13.8" x14ac:dyDescent="0.25"/>
  <cols>
    <col min="1" max="1" width="31.6640625" style="2" customWidth="1"/>
    <col min="2" max="6" width="14.44140625" style="2" bestFit="1" customWidth="1"/>
    <col min="7" max="7" width="2.109375" style="2" customWidth="1"/>
    <col min="8" max="16384" width="9.109375" style="2"/>
  </cols>
  <sheetData>
    <row r="1" spans="1:6" x14ac:dyDescent="0.25">
      <c r="A1" s="1" t="str">
        <f>Depr.!A1</f>
        <v>Ayan Sharma</v>
      </c>
    </row>
    <row r="2" spans="1:6" x14ac:dyDescent="0.25">
      <c r="A2" s="17"/>
    </row>
    <row r="3" spans="1:6" x14ac:dyDescent="0.25">
      <c r="A3" s="1"/>
    </row>
    <row r="4" spans="1:6" x14ac:dyDescent="0.25">
      <c r="A4" s="1" t="s">
        <v>100</v>
      </c>
    </row>
    <row r="6" spans="1:6" x14ac:dyDescent="0.25">
      <c r="A6" s="1" t="s">
        <v>124</v>
      </c>
    </row>
    <row r="7" spans="1:6" x14ac:dyDescent="0.25">
      <c r="A7" s="189"/>
      <c r="B7" s="210" t="s">
        <v>108</v>
      </c>
      <c r="C7" s="211"/>
      <c r="D7" s="211"/>
      <c r="E7" s="211"/>
      <c r="F7" s="211"/>
    </row>
    <row r="8" spans="1:6" x14ac:dyDescent="0.25">
      <c r="A8" s="190"/>
      <c r="B8" s="27">
        <v>2026</v>
      </c>
      <c r="C8" s="27">
        <v>2027</v>
      </c>
      <c r="D8" s="27">
        <v>2028</v>
      </c>
      <c r="E8" s="27">
        <v>2029</v>
      </c>
      <c r="F8" s="27">
        <v>2030</v>
      </c>
    </row>
    <row r="9" spans="1:6" x14ac:dyDescent="0.25">
      <c r="A9" s="20"/>
      <c r="B9" s="40"/>
      <c r="C9" s="40"/>
      <c r="D9" s="40"/>
      <c r="E9" s="40"/>
      <c r="F9" s="33"/>
    </row>
    <row r="10" spans="1:6" x14ac:dyDescent="0.25">
      <c r="A10" s="20" t="s">
        <v>131</v>
      </c>
      <c r="B10" s="100">
        <f>B.sheet!B12+B.sheet!B13</f>
        <v>8659069.5</v>
      </c>
      <c r="C10" s="100">
        <f>B.sheet!C12+B.sheet!C13</f>
        <v>9787924.1349999998</v>
      </c>
      <c r="D10" s="100">
        <f>B.sheet!D12+B.sheet!D13</f>
        <v>11009779.881649999</v>
      </c>
      <c r="E10" s="100">
        <f>B.sheet!E12+B.sheet!E13</f>
        <v>12461412.595478501</v>
      </c>
      <c r="F10" s="100">
        <f>B.sheet!F12+B.sheet!F13</f>
        <v>14019415.861935928</v>
      </c>
    </row>
    <row r="11" spans="1:6" x14ac:dyDescent="0.25">
      <c r="A11" s="20"/>
      <c r="B11" s="44"/>
      <c r="C11" s="26"/>
      <c r="D11" s="44"/>
      <c r="E11" s="26"/>
      <c r="F11" s="34"/>
    </row>
    <row r="12" spans="1:6" x14ac:dyDescent="0.25">
      <c r="A12" s="20" t="s">
        <v>132</v>
      </c>
      <c r="B12" s="100">
        <f>B.sheet!B14+B.sheet!B15</f>
        <v>165000</v>
      </c>
      <c r="C12" s="100">
        <f>B.sheet!C14+B.sheet!C15</f>
        <v>225000</v>
      </c>
      <c r="D12" s="100">
        <f>B.sheet!D14+B.sheet!D15</f>
        <v>265000</v>
      </c>
      <c r="E12" s="100">
        <f>B.sheet!E14+B.sheet!E15</f>
        <v>300000</v>
      </c>
      <c r="F12" s="100">
        <f>B.sheet!F14+B.sheet!F15</f>
        <v>350000</v>
      </c>
    </row>
    <row r="13" spans="1:6" x14ac:dyDescent="0.25">
      <c r="A13" s="20"/>
      <c r="B13" s="44"/>
      <c r="C13" s="26"/>
      <c r="D13" s="44"/>
      <c r="E13" s="26"/>
      <c r="F13" s="34"/>
    </row>
    <row r="14" spans="1:6" x14ac:dyDescent="0.25">
      <c r="A14" s="44" t="s">
        <v>126</v>
      </c>
      <c r="B14" s="49">
        <f>B12/B10</f>
        <v>1.9055165223006928E-2</v>
      </c>
      <c r="C14" s="49">
        <f t="shared" ref="C14:F14" si="0">C12/C10</f>
        <v>2.2987509598223915E-2</v>
      </c>
      <c r="D14" s="49">
        <f t="shared" si="0"/>
        <v>2.4069509367909844E-2</v>
      </c>
      <c r="E14" s="49">
        <f t="shared" si="0"/>
        <v>2.4074317233413169E-2</v>
      </c>
      <c r="F14" s="49">
        <f t="shared" si="0"/>
        <v>2.4965376835013781E-2</v>
      </c>
    </row>
    <row r="15" spans="1:6" x14ac:dyDescent="0.25">
      <c r="A15" s="20"/>
      <c r="B15" s="100"/>
      <c r="C15" s="26"/>
      <c r="D15" s="100"/>
      <c r="E15" s="26"/>
      <c r="F15" s="34"/>
    </row>
    <row r="16" spans="1:6" x14ac:dyDescent="0.25">
      <c r="A16" s="20" t="s">
        <v>133</v>
      </c>
      <c r="B16" s="40">
        <f>profit!B9</f>
        <v>15811417</v>
      </c>
      <c r="C16" s="40">
        <f>profit!C9</f>
        <v>16285759.51</v>
      </c>
      <c r="D16" s="40">
        <f>profit!D9</f>
        <v>16937189.8904</v>
      </c>
      <c r="E16" s="40">
        <f>profit!E9</f>
        <v>17614677.486016002</v>
      </c>
      <c r="F16" s="34">
        <f>profit!F9</f>
        <v>18495411.360316802</v>
      </c>
    </row>
    <row r="17" spans="1:6" x14ac:dyDescent="0.25">
      <c r="A17" s="20"/>
      <c r="B17" s="44"/>
      <c r="D17" s="44"/>
      <c r="E17" s="32"/>
      <c r="F17" s="44"/>
    </row>
    <row r="18" spans="1:6" x14ac:dyDescent="0.25">
      <c r="A18" s="20" t="s">
        <v>127</v>
      </c>
      <c r="B18" s="100">
        <f>profit!B24</f>
        <v>1049999.5</v>
      </c>
      <c r="C18" s="100">
        <f>profit!C24</f>
        <v>1128854.6349999998</v>
      </c>
      <c r="D18" s="100">
        <f>profit!D24</f>
        <v>1221855.7466499992</v>
      </c>
      <c r="E18" s="100">
        <f>profit!E24</f>
        <v>1451632.7138285022</v>
      </c>
      <c r="F18" s="100">
        <f>profit!F24</f>
        <v>1558003.2664574273</v>
      </c>
    </row>
    <row r="19" spans="1:6" x14ac:dyDescent="0.25">
      <c r="A19" s="20"/>
      <c r="B19" s="44"/>
      <c r="D19" s="44"/>
      <c r="E19" s="32"/>
      <c r="F19" s="44"/>
    </row>
    <row r="20" spans="1:6" x14ac:dyDescent="0.25">
      <c r="A20" s="20" t="s">
        <v>128</v>
      </c>
      <c r="B20" s="100">
        <f>profit!B36</f>
        <v>1049999.5</v>
      </c>
      <c r="C20" s="100">
        <f>profit!C36</f>
        <v>1128854.6349999998</v>
      </c>
      <c r="D20" s="100">
        <f>profit!D36</f>
        <v>1221855.7466499992</v>
      </c>
      <c r="E20" s="100">
        <f>profit!E36</f>
        <v>1451632.7138285022</v>
      </c>
      <c r="F20" s="100">
        <f>profit!F36</f>
        <v>1558003.2664574273</v>
      </c>
    </row>
    <row r="21" spans="1:6" x14ac:dyDescent="0.25">
      <c r="A21" s="20"/>
      <c r="B21" s="44"/>
      <c r="D21" s="44"/>
      <c r="E21" s="32"/>
      <c r="F21" s="44"/>
    </row>
    <row r="22" spans="1:6" x14ac:dyDescent="0.25">
      <c r="A22" s="20" t="s">
        <v>130</v>
      </c>
      <c r="B22" s="49">
        <f>B18/B16*100</f>
        <v>6.6407678704571511</v>
      </c>
      <c r="C22" s="49">
        <f t="shared" ref="C22:F22" si="1">C18/C16*100</f>
        <v>6.9315442998335168</v>
      </c>
      <c r="D22" s="49">
        <f t="shared" si="1"/>
        <v>7.2140405495633431</v>
      </c>
      <c r="E22" s="49">
        <f t="shared" si="1"/>
        <v>8.2410405469014645</v>
      </c>
      <c r="F22" s="49">
        <f t="shared" si="1"/>
        <v>8.4237286541257053</v>
      </c>
    </row>
    <row r="23" spans="1:6" x14ac:dyDescent="0.25">
      <c r="A23" s="20"/>
      <c r="B23" s="49"/>
      <c r="C23" s="49"/>
      <c r="D23" s="49"/>
      <c r="E23" s="49"/>
      <c r="F23" s="49"/>
    </row>
    <row r="24" spans="1:6" x14ac:dyDescent="0.25">
      <c r="A24" s="20" t="s">
        <v>129</v>
      </c>
      <c r="B24" s="49">
        <f>B20/B16*100</f>
        <v>6.6407678704571511</v>
      </c>
      <c r="C24" s="49">
        <f t="shared" ref="C24:F24" si="2">C20/C16*100</f>
        <v>6.9315442998335168</v>
      </c>
      <c r="D24" s="49">
        <f t="shared" si="2"/>
        <v>7.2140405495633431</v>
      </c>
      <c r="E24" s="49">
        <f t="shared" si="2"/>
        <v>8.2410405469014645</v>
      </c>
      <c r="F24" s="49">
        <f t="shared" si="2"/>
        <v>8.4237286541257053</v>
      </c>
    </row>
    <row r="25" spans="1:6" x14ac:dyDescent="0.25">
      <c r="A25" s="20"/>
      <c r="B25" s="49"/>
      <c r="C25" s="49"/>
      <c r="D25" s="49"/>
      <c r="E25" s="49"/>
      <c r="F25" s="49"/>
    </row>
    <row r="26" spans="1:6" x14ac:dyDescent="0.25">
      <c r="A26" s="20" t="s">
        <v>211</v>
      </c>
      <c r="B26" s="49">
        <f>B.sheet!B23</f>
        <v>350230</v>
      </c>
      <c r="C26" s="49">
        <f>B.sheet!C23</f>
        <v>456250</v>
      </c>
      <c r="D26" s="49">
        <f>B.sheet!D23</f>
        <v>542300</v>
      </c>
      <c r="E26" s="49">
        <f>B.sheet!E23</f>
        <v>652012</v>
      </c>
      <c r="F26" s="49">
        <f>B.sheet!F23</f>
        <v>748625</v>
      </c>
    </row>
    <row r="27" spans="1:6" x14ac:dyDescent="0.25">
      <c r="A27" s="20"/>
      <c r="B27" s="49"/>
      <c r="C27" s="49"/>
      <c r="D27" s="49"/>
      <c r="E27" s="49"/>
      <c r="F27" s="49"/>
    </row>
    <row r="28" spans="1:6" x14ac:dyDescent="0.25">
      <c r="A28" s="20" t="s">
        <v>212</v>
      </c>
      <c r="B28" s="49">
        <f>B.sheet!B15</f>
        <v>165000</v>
      </c>
      <c r="C28" s="49">
        <f>B.sheet!C15</f>
        <v>225000</v>
      </c>
      <c r="D28" s="49">
        <f>B.sheet!D15</f>
        <v>265000</v>
      </c>
      <c r="E28" s="49">
        <f>B.sheet!E15</f>
        <v>300000</v>
      </c>
      <c r="F28" s="49">
        <f>B.sheet!F15</f>
        <v>350000</v>
      </c>
    </row>
    <row r="29" spans="1:6" x14ac:dyDescent="0.25">
      <c r="A29" s="20"/>
      <c r="B29" s="49"/>
      <c r="C29" s="50"/>
      <c r="D29" s="49"/>
      <c r="E29" s="51"/>
      <c r="F29" s="49"/>
    </row>
    <row r="30" spans="1:6" x14ac:dyDescent="0.25">
      <c r="A30" s="20" t="s">
        <v>220</v>
      </c>
      <c r="B30" s="49">
        <f>B26/B28</f>
        <v>2.1226060606060604</v>
      </c>
      <c r="C30" s="49">
        <f t="shared" ref="C30:F30" si="3">C26/C28</f>
        <v>2.0277777777777777</v>
      </c>
      <c r="D30" s="49">
        <f t="shared" si="3"/>
        <v>2.0464150943396224</v>
      </c>
      <c r="E30" s="49">
        <f t="shared" si="3"/>
        <v>2.1733733333333332</v>
      </c>
      <c r="F30" s="49">
        <f t="shared" si="3"/>
        <v>2.1389285714285715</v>
      </c>
    </row>
    <row r="31" spans="1:6" x14ac:dyDescent="0.25">
      <c r="A31" s="24"/>
      <c r="B31" s="37"/>
      <c r="C31" s="30"/>
      <c r="D31" s="37"/>
      <c r="E31" s="31"/>
      <c r="F31" s="37"/>
    </row>
    <row r="32" spans="1:6" ht="7.5" customHeight="1" x14ac:dyDescent="0.25"/>
  </sheetData>
  <mergeCells count="2">
    <mergeCell ref="A7:A8"/>
    <mergeCell ref="B7:F7"/>
  </mergeCells>
  <printOptions horizontalCentered="1"/>
  <pageMargins left="0.36" right="0" top="1" bottom="1" header="0.5" footer="0.5"/>
  <pageSetup scale="81" orientation="portrait" horizontalDpi="4294967293" verticalDpi="144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5"/>
  <sheetViews>
    <sheetView view="pageBreakPreview" topLeftCell="A10" zoomScaleSheetLayoutView="100" workbookViewId="0">
      <selection activeCell="G35" sqref="G35"/>
    </sheetView>
  </sheetViews>
  <sheetFormatPr defaultColWidth="13" defaultRowHeight="13.8" x14ac:dyDescent="0.25"/>
  <cols>
    <col min="1" max="1" width="15.6640625" style="2" customWidth="1"/>
    <col min="2" max="2" width="13" style="2" customWidth="1"/>
    <col min="3" max="3" width="14.44140625" style="3" bestFit="1" customWidth="1"/>
    <col min="4" max="4" width="16" style="2" bestFit="1" customWidth="1"/>
    <col min="5" max="6" width="15" style="2" customWidth="1"/>
    <col min="7" max="8" width="13" style="2" customWidth="1"/>
    <col min="9" max="9" width="16.109375" style="2" bestFit="1" customWidth="1"/>
    <col min="10" max="16384" width="13" style="2"/>
  </cols>
  <sheetData>
    <row r="1" spans="1:9" x14ac:dyDescent="0.25">
      <c r="A1" s="1" t="str">
        <f>BEP!A1</f>
        <v>Ayan Sharma</v>
      </c>
    </row>
    <row r="2" spans="1:9" x14ac:dyDescent="0.25">
      <c r="A2" s="1"/>
    </row>
    <row r="3" spans="1:9" x14ac:dyDescent="0.25">
      <c r="A3" s="1" t="s">
        <v>41</v>
      </c>
    </row>
    <row r="4" spans="1:9" x14ac:dyDescent="0.25">
      <c r="A4" s="4" t="s">
        <v>83</v>
      </c>
    </row>
    <row r="5" spans="1:9" ht="15" customHeight="1" x14ac:dyDescent="0.25">
      <c r="A5" s="1" t="s">
        <v>63</v>
      </c>
      <c r="B5" s="212" t="s">
        <v>227</v>
      </c>
      <c r="C5" s="212"/>
      <c r="D5" s="212"/>
      <c r="E5" s="212"/>
      <c r="F5" s="212"/>
      <c r="G5" s="212"/>
      <c r="I5" s="115"/>
    </row>
    <row r="6" spans="1:9" x14ac:dyDescent="0.25">
      <c r="A6" s="1"/>
      <c r="B6" s="212"/>
      <c r="C6" s="212"/>
      <c r="D6" s="212"/>
      <c r="E6" s="212"/>
      <c r="F6" s="212"/>
      <c r="G6" s="212"/>
      <c r="I6" s="115"/>
    </row>
    <row r="7" spans="1:9" x14ac:dyDescent="0.25">
      <c r="C7" s="5"/>
      <c r="D7" s="2" t="s">
        <v>13</v>
      </c>
    </row>
    <row r="8" spans="1:9" s="9" customFormat="1" x14ac:dyDescent="0.25">
      <c r="A8" s="6" t="s">
        <v>141</v>
      </c>
      <c r="B8" s="110" t="s">
        <v>146</v>
      </c>
      <c r="C8" s="7" t="s">
        <v>46</v>
      </c>
      <c r="D8" s="6" t="s">
        <v>142</v>
      </c>
      <c r="E8" s="6" t="s">
        <v>48</v>
      </c>
      <c r="F8" s="6" t="s">
        <v>143</v>
      </c>
      <c r="G8" s="8" t="s">
        <v>47</v>
      </c>
      <c r="I8" s="116"/>
    </row>
    <row r="9" spans="1:9" s="9" customFormat="1" x14ac:dyDescent="0.25">
      <c r="A9" s="15"/>
      <c r="B9" s="111" t="s">
        <v>147</v>
      </c>
      <c r="C9" s="112" t="s">
        <v>49</v>
      </c>
      <c r="D9" s="15" t="s">
        <v>50</v>
      </c>
      <c r="E9" s="15" t="s">
        <v>145</v>
      </c>
      <c r="F9" s="15" t="s">
        <v>144</v>
      </c>
      <c r="G9" s="12" t="s">
        <v>49</v>
      </c>
    </row>
    <row r="10" spans="1:9" s="9" customFormat="1" x14ac:dyDescent="0.25">
      <c r="A10" s="10"/>
      <c r="B10" s="52"/>
      <c r="C10" s="11"/>
      <c r="D10" s="10"/>
      <c r="E10" s="10"/>
      <c r="F10" s="10"/>
      <c r="G10" s="14"/>
    </row>
    <row r="11" spans="1:9" ht="18.600000000000001" x14ac:dyDescent="0.45">
      <c r="A11" s="108">
        <v>1</v>
      </c>
      <c r="B11" s="108">
        <v>1</v>
      </c>
      <c r="C11" s="16">
        <f>Cost!C35</f>
        <v>2300000</v>
      </c>
      <c r="D11" s="16">
        <f>-H11</f>
        <v>50007.573067079611</v>
      </c>
      <c r="E11" s="16">
        <f>C11*11%*1/12</f>
        <v>21083.333333333332</v>
      </c>
      <c r="F11" s="16">
        <f>D11-E11</f>
        <v>28924.239733746279</v>
      </c>
      <c r="G11" s="16">
        <f>+C11-F11</f>
        <v>2271075.7602662537</v>
      </c>
      <c r="H11" s="16">
        <f>PMT(11%/12,5*12,C11,0)</f>
        <v>-50007.573067079611</v>
      </c>
      <c r="I11" s="114"/>
    </row>
    <row r="12" spans="1:9" x14ac:dyDescent="0.25">
      <c r="A12" s="108">
        <v>2</v>
      </c>
      <c r="B12" s="108">
        <v>2</v>
      </c>
      <c r="C12" s="16">
        <f>G11</f>
        <v>2271075.7602662537</v>
      </c>
      <c r="D12" s="16">
        <f t="shared" ref="D12:D69" si="0">D11</f>
        <v>50007.573067079611</v>
      </c>
      <c r="E12" s="16">
        <f t="shared" ref="E12:E70" si="1">C12*11%*1/12</f>
        <v>20818.194469107326</v>
      </c>
      <c r="F12" s="16">
        <f t="shared" ref="F12:F69" si="2">D12-E12</f>
        <v>29189.378597972285</v>
      </c>
      <c r="G12" s="16">
        <f t="shared" ref="G12:G70" si="3">+C12-F12</f>
        <v>2241886.3816682813</v>
      </c>
      <c r="H12" s="170"/>
    </row>
    <row r="13" spans="1:9" x14ac:dyDescent="0.25">
      <c r="A13" s="108">
        <v>3</v>
      </c>
      <c r="B13" s="108">
        <v>3</v>
      </c>
      <c r="C13" s="16">
        <f>G12</f>
        <v>2241886.3816682813</v>
      </c>
      <c r="D13" s="16">
        <f t="shared" si="0"/>
        <v>50007.573067079611</v>
      </c>
      <c r="E13" s="16">
        <f t="shared" si="1"/>
        <v>20550.625165292578</v>
      </c>
      <c r="F13" s="16">
        <f t="shared" si="2"/>
        <v>29456.947901787033</v>
      </c>
      <c r="G13" s="16">
        <f t="shared" si="3"/>
        <v>2212429.433766494</v>
      </c>
    </row>
    <row r="14" spans="1:9" x14ac:dyDescent="0.25">
      <c r="A14" s="108">
        <v>4</v>
      </c>
      <c r="B14" s="108">
        <v>4</v>
      </c>
      <c r="C14" s="16">
        <f t="shared" ref="C14:C18" si="4">+G13</f>
        <v>2212429.433766494</v>
      </c>
      <c r="D14" s="16">
        <f t="shared" si="0"/>
        <v>50007.573067079611</v>
      </c>
      <c r="E14" s="16">
        <f t="shared" si="1"/>
        <v>20280.603142859527</v>
      </c>
      <c r="F14" s="16">
        <f t="shared" si="2"/>
        <v>29726.969924220084</v>
      </c>
      <c r="G14" s="16">
        <f t="shared" si="3"/>
        <v>2182702.4638422742</v>
      </c>
    </row>
    <row r="15" spans="1:9" x14ac:dyDescent="0.25">
      <c r="A15" s="108">
        <v>5</v>
      </c>
      <c r="B15" s="108">
        <v>5</v>
      </c>
      <c r="C15" s="16">
        <f t="shared" si="4"/>
        <v>2182702.4638422742</v>
      </c>
      <c r="D15" s="16">
        <f t="shared" si="0"/>
        <v>50007.573067079611</v>
      </c>
      <c r="E15" s="16">
        <f t="shared" si="1"/>
        <v>20008.105918554178</v>
      </c>
      <c r="F15" s="16">
        <f t="shared" si="2"/>
        <v>29999.467148525433</v>
      </c>
      <c r="G15" s="16">
        <f t="shared" si="3"/>
        <v>2152702.9966937485</v>
      </c>
    </row>
    <row r="16" spans="1:9" x14ac:dyDescent="0.25">
      <c r="A16" s="108">
        <v>6</v>
      </c>
      <c r="B16" s="108">
        <v>6</v>
      </c>
      <c r="C16" s="16">
        <f>+G15</f>
        <v>2152702.9966937485</v>
      </c>
      <c r="D16" s="16">
        <f t="shared" si="0"/>
        <v>50007.573067079611</v>
      </c>
      <c r="E16" s="16">
        <f t="shared" si="1"/>
        <v>19733.110803026029</v>
      </c>
      <c r="F16" s="16">
        <f t="shared" si="2"/>
        <v>30274.462264053582</v>
      </c>
      <c r="G16" s="16">
        <f t="shared" si="3"/>
        <v>2122428.534429695</v>
      </c>
    </row>
    <row r="17" spans="1:10" x14ac:dyDescent="0.25">
      <c r="A17" s="108">
        <v>7</v>
      </c>
      <c r="B17" s="108">
        <v>7</v>
      </c>
      <c r="C17" s="16">
        <f t="shared" si="4"/>
        <v>2122428.534429695</v>
      </c>
      <c r="D17" s="16">
        <f t="shared" si="0"/>
        <v>50007.573067079611</v>
      </c>
      <c r="E17" s="16">
        <f t="shared" si="1"/>
        <v>19455.594898938871</v>
      </c>
      <c r="F17" s="16">
        <f t="shared" si="2"/>
        <v>30551.97816814074</v>
      </c>
      <c r="G17" s="16">
        <f t="shared" si="3"/>
        <v>2091876.5562615544</v>
      </c>
    </row>
    <row r="18" spans="1:10" x14ac:dyDescent="0.25">
      <c r="A18" s="108">
        <v>8</v>
      </c>
      <c r="B18" s="108">
        <v>8</v>
      </c>
      <c r="C18" s="16">
        <f t="shared" si="4"/>
        <v>2091876.5562615544</v>
      </c>
      <c r="D18" s="16">
        <f t="shared" si="0"/>
        <v>50007.573067079611</v>
      </c>
      <c r="E18" s="16">
        <f t="shared" si="1"/>
        <v>19175.535099064247</v>
      </c>
      <c r="F18" s="16">
        <f t="shared" si="2"/>
        <v>30832.037968015364</v>
      </c>
      <c r="G18" s="16">
        <f t="shared" si="3"/>
        <v>2061044.5182935391</v>
      </c>
    </row>
    <row r="19" spans="1:10" x14ac:dyDescent="0.25">
      <c r="A19" s="108">
        <v>9</v>
      </c>
      <c r="B19" s="108">
        <v>9</v>
      </c>
      <c r="C19" s="16">
        <f t="shared" ref="C19:C30" si="5">+G18</f>
        <v>2061044.5182935391</v>
      </c>
      <c r="D19" s="16">
        <f t="shared" si="0"/>
        <v>50007.573067079611</v>
      </c>
      <c r="E19" s="16">
        <f t="shared" si="1"/>
        <v>18892.908084357441</v>
      </c>
      <c r="F19" s="16">
        <f t="shared" si="2"/>
        <v>31114.66498272217</v>
      </c>
      <c r="G19" s="16">
        <f t="shared" si="3"/>
        <v>2029929.8533108169</v>
      </c>
    </row>
    <row r="20" spans="1:10" x14ac:dyDescent="0.25">
      <c r="A20" s="108">
        <v>10</v>
      </c>
      <c r="B20" s="108">
        <v>10</v>
      </c>
      <c r="C20" s="16">
        <f t="shared" si="5"/>
        <v>2029929.8533108169</v>
      </c>
      <c r="D20" s="16">
        <f t="shared" si="0"/>
        <v>50007.573067079611</v>
      </c>
      <c r="E20" s="16">
        <f t="shared" si="1"/>
        <v>18607.690322015824</v>
      </c>
      <c r="F20" s="16">
        <f t="shared" si="2"/>
        <v>31399.882745063787</v>
      </c>
      <c r="G20" s="16">
        <f t="shared" si="3"/>
        <v>1998529.9705657531</v>
      </c>
    </row>
    <row r="21" spans="1:10" x14ac:dyDescent="0.25">
      <c r="A21" s="108">
        <v>11</v>
      </c>
      <c r="B21" s="108">
        <v>11</v>
      </c>
      <c r="C21" s="16">
        <f t="shared" si="5"/>
        <v>1998529.9705657531</v>
      </c>
      <c r="D21" s="16">
        <f t="shared" si="0"/>
        <v>50007.573067079611</v>
      </c>
      <c r="E21" s="16">
        <f t="shared" si="1"/>
        <v>18319.858063519405</v>
      </c>
      <c r="F21" s="16">
        <f t="shared" si="2"/>
        <v>31687.715003560206</v>
      </c>
      <c r="G21" s="16">
        <f t="shared" si="3"/>
        <v>1966842.2555621928</v>
      </c>
    </row>
    <row r="22" spans="1:10" x14ac:dyDescent="0.25">
      <c r="A22" s="108">
        <v>12</v>
      </c>
      <c r="B22" s="108">
        <v>12</v>
      </c>
      <c r="C22" s="16">
        <f t="shared" si="5"/>
        <v>1966842.2555621928</v>
      </c>
      <c r="D22" s="16">
        <f t="shared" si="0"/>
        <v>50007.573067079611</v>
      </c>
      <c r="E22" s="16">
        <f t="shared" si="1"/>
        <v>18029.387342653434</v>
      </c>
      <c r="F22" s="16">
        <f>D22-E22</f>
        <v>31978.185724426177</v>
      </c>
      <c r="G22" s="16">
        <f t="shared" si="3"/>
        <v>1934864.0698377667</v>
      </c>
      <c r="H22" s="17">
        <f>SUM(E11:E22)</f>
        <v>234954.94664272218</v>
      </c>
      <c r="I22" s="17">
        <f>SUM(F11:F22)</f>
        <v>365135.93016223313</v>
      </c>
      <c r="J22" s="74">
        <f>C22-I22</f>
        <v>1601706.3253999597</v>
      </c>
    </row>
    <row r="23" spans="1:10" x14ac:dyDescent="0.25">
      <c r="A23" s="108">
        <v>13</v>
      </c>
      <c r="B23" s="108">
        <v>13</v>
      </c>
      <c r="C23" s="16">
        <f t="shared" si="5"/>
        <v>1934864.0698377667</v>
      </c>
      <c r="D23" s="16">
        <f t="shared" si="0"/>
        <v>50007.573067079611</v>
      </c>
      <c r="E23" s="16">
        <f t="shared" si="1"/>
        <v>17736.253973512863</v>
      </c>
      <c r="F23" s="16">
        <f t="shared" si="2"/>
        <v>32271.319093566748</v>
      </c>
      <c r="G23" s="16">
        <f t="shared" si="3"/>
        <v>1902592.7507441998</v>
      </c>
    </row>
    <row r="24" spans="1:10" x14ac:dyDescent="0.25">
      <c r="A24" s="108">
        <v>14</v>
      </c>
      <c r="B24" s="108">
        <v>14</v>
      </c>
      <c r="C24" s="16">
        <f t="shared" si="5"/>
        <v>1902592.7507441998</v>
      </c>
      <c r="D24" s="16">
        <f t="shared" si="0"/>
        <v>50007.573067079611</v>
      </c>
      <c r="E24" s="16">
        <f t="shared" si="1"/>
        <v>17440.433548488498</v>
      </c>
      <c r="F24" s="16">
        <f t="shared" si="2"/>
        <v>32567.139518591113</v>
      </c>
      <c r="G24" s="16">
        <f t="shared" si="3"/>
        <v>1870025.6112256087</v>
      </c>
    </row>
    <row r="25" spans="1:10" x14ac:dyDescent="0.25">
      <c r="A25" s="108">
        <v>15</v>
      </c>
      <c r="B25" s="108">
        <v>15</v>
      </c>
      <c r="C25" s="16">
        <f t="shared" si="5"/>
        <v>1870025.6112256087</v>
      </c>
      <c r="D25" s="16">
        <f t="shared" si="0"/>
        <v>50007.573067079611</v>
      </c>
      <c r="E25" s="16">
        <f t="shared" si="1"/>
        <v>17141.901436234748</v>
      </c>
      <c r="F25" s="16">
        <f t="shared" si="2"/>
        <v>32865.671630844867</v>
      </c>
      <c r="G25" s="16">
        <f t="shared" si="3"/>
        <v>1837159.9395947638</v>
      </c>
    </row>
    <row r="26" spans="1:10" x14ac:dyDescent="0.25">
      <c r="A26" s="108">
        <v>16</v>
      </c>
      <c r="B26" s="108">
        <v>16</v>
      </c>
      <c r="C26" s="16">
        <f t="shared" si="5"/>
        <v>1837159.9395947638</v>
      </c>
      <c r="D26" s="16">
        <f t="shared" si="0"/>
        <v>50007.573067079611</v>
      </c>
      <c r="E26" s="16">
        <f t="shared" si="1"/>
        <v>16840.632779618671</v>
      </c>
      <c r="F26" s="16">
        <f t="shared" si="2"/>
        <v>33166.940287460937</v>
      </c>
      <c r="G26" s="16">
        <f t="shared" si="3"/>
        <v>1803992.9993073028</v>
      </c>
    </row>
    <row r="27" spans="1:10" x14ac:dyDescent="0.25">
      <c r="A27" s="108">
        <v>17</v>
      </c>
      <c r="B27" s="108">
        <v>17</v>
      </c>
      <c r="C27" s="16">
        <f t="shared" si="5"/>
        <v>1803992.9993073028</v>
      </c>
      <c r="D27" s="16">
        <f t="shared" si="0"/>
        <v>50007.573067079611</v>
      </c>
      <c r="E27" s="16">
        <f t="shared" si="1"/>
        <v>16536.602493650276</v>
      </c>
      <c r="F27" s="16">
        <f t="shared" si="2"/>
        <v>33470.970573429338</v>
      </c>
      <c r="G27" s="16">
        <f t="shared" si="3"/>
        <v>1770522.0287338735</v>
      </c>
    </row>
    <row r="28" spans="1:10" x14ac:dyDescent="0.25">
      <c r="A28" s="108">
        <v>18</v>
      </c>
      <c r="B28" s="108">
        <v>18</v>
      </c>
      <c r="C28" s="16">
        <f t="shared" si="5"/>
        <v>1770522.0287338735</v>
      </c>
      <c r="D28" s="16">
        <f t="shared" si="0"/>
        <v>50007.573067079611</v>
      </c>
      <c r="E28" s="16">
        <f t="shared" si="1"/>
        <v>16229.78526339384</v>
      </c>
      <c r="F28" s="16">
        <f t="shared" si="2"/>
        <v>33777.787803685773</v>
      </c>
      <c r="G28" s="16">
        <f t="shared" si="3"/>
        <v>1736744.2409301877</v>
      </c>
    </row>
    <row r="29" spans="1:10" x14ac:dyDescent="0.25">
      <c r="A29" s="108">
        <v>19</v>
      </c>
      <c r="B29" s="108">
        <v>19</v>
      </c>
      <c r="C29" s="16">
        <f t="shared" si="5"/>
        <v>1736744.2409301877</v>
      </c>
      <c r="D29" s="16">
        <f t="shared" si="0"/>
        <v>50007.573067079611</v>
      </c>
      <c r="E29" s="16">
        <f t="shared" si="1"/>
        <v>15920.155541860055</v>
      </c>
      <c r="F29" s="16">
        <f t="shared" si="2"/>
        <v>34087.417525219556</v>
      </c>
      <c r="G29" s="16">
        <f t="shared" si="3"/>
        <v>1702656.8234049683</v>
      </c>
    </row>
    <row r="30" spans="1:10" x14ac:dyDescent="0.25">
      <c r="A30" s="108">
        <v>20</v>
      </c>
      <c r="B30" s="108">
        <v>20</v>
      </c>
      <c r="C30" s="16">
        <f t="shared" si="5"/>
        <v>1702656.8234049683</v>
      </c>
      <c r="D30" s="16">
        <f t="shared" si="0"/>
        <v>50007.573067079611</v>
      </c>
      <c r="E30" s="16">
        <f t="shared" si="1"/>
        <v>15607.687547878877</v>
      </c>
      <c r="F30" s="16">
        <f t="shared" si="2"/>
        <v>34399.885519200732</v>
      </c>
      <c r="G30" s="16">
        <f t="shared" si="3"/>
        <v>1668256.9378857675</v>
      </c>
    </row>
    <row r="31" spans="1:10" x14ac:dyDescent="0.25">
      <c r="A31" s="108">
        <v>21</v>
      </c>
      <c r="B31" s="108">
        <v>21</v>
      </c>
      <c r="C31" s="16">
        <f t="shared" ref="C31:C35" si="6">+G30</f>
        <v>1668256.9378857675</v>
      </c>
      <c r="D31" s="16">
        <f t="shared" si="0"/>
        <v>50007.573067079611</v>
      </c>
      <c r="E31" s="16">
        <f t="shared" si="1"/>
        <v>15292.35526395287</v>
      </c>
      <c r="F31" s="16">
        <f t="shared" si="2"/>
        <v>34715.217803126739</v>
      </c>
      <c r="G31" s="16">
        <f t="shared" si="3"/>
        <v>1633541.7200826409</v>
      </c>
    </row>
    <row r="32" spans="1:10" x14ac:dyDescent="0.25">
      <c r="A32" s="108">
        <v>22</v>
      </c>
      <c r="B32" s="108">
        <v>22</v>
      </c>
      <c r="C32" s="16">
        <f t="shared" si="6"/>
        <v>1633541.7200826409</v>
      </c>
      <c r="D32" s="16">
        <f t="shared" si="0"/>
        <v>50007.573067079611</v>
      </c>
      <c r="E32" s="16">
        <f t="shared" si="1"/>
        <v>14974.132434090876</v>
      </c>
      <c r="F32" s="16">
        <f t="shared" si="2"/>
        <v>35033.440632988735</v>
      </c>
      <c r="G32" s="16">
        <f t="shared" si="3"/>
        <v>1598508.2794496522</v>
      </c>
    </row>
    <row r="33" spans="1:10" x14ac:dyDescent="0.25">
      <c r="A33" s="108">
        <v>23</v>
      </c>
      <c r="B33" s="108">
        <v>23</v>
      </c>
      <c r="C33" s="16">
        <f t="shared" si="6"/>
        <v>1598508.2794496522</v>
      </c>
      <c r="D33" s="16">
        <f t="shared" si="0"/>
        <v>50007.573067079611</v>
      </c>
      <c r="E33" s="16">
        <f t="shared" si="1"/>
        <v>14652.992561621812</v>
      </c>
      <c r="F33" s="16">
        <f t="shared" si="2"/>
        <v>35354.580505457801</v>
      </c>
      <c r="G33" s="16">
        <f t="shared" si="3"/>
        <v>1563153.6989441945</v>
      </c>
    </row>
    <row r="34" spans="1:10" x14ac:dyDescent="0.25">
      <c r="A34" s="108">
        <v>24</v>
      </c>
      <c r="B34" s="108">
        <v>24</v>
      </c>
      <c r="C34" s="16">
        <f t="shared" si="6"/>
        <v>1563153.6989441945</v>
      </c>
      <c r="D34" s="16">
        <f t="shared" si="0"/>
        <v>50007.573067079611</v>
      </c>
      <c r="E34" s="16">
        <f t="shared" si="1"/>
        <v>14328.90890698845</v>
      </c>
      <c r="F34" s="16">
        <f t="shared" si="2"/>
        <v>35678.664160091161</v>
      </c>
      <c r="G34" s="16">
        <f t="shared" si="3"/>
        <v>1527475.0347841033</v>
      </c>
      <c r="H34" s="17">
        <f>SUM(E23:E34)</f>
        <v>192701.84175129188</v>
      </c>
      <c r="I34" s="17">
        <f>SUM(F23:F34)</f>
        <v>407389.03505366348</v>
      </c>
      <c r="J34" s="74">
        <f>C34-I34</f>
        <v>1155764.6638905311</v>
      </c>
    </row>
    <row r="35" spans="1:10" x14ac:dyDescent="0.25">
      <c r="A35" s="108">
        <v>25</v>
      </c>
      <c r="B35" s="108">
        <v>25</v>
      </c>
      <c r="C35" s="16">
        <f t="shared" si="6"/>
        <v>1527475.0347841033</v>
      </c>
      <c r="D35" s="16">
        <f t="shared" si="0"/>
        <v>50007.573067079611</v>
      </c>
      <c r="E35" s="16">
        <f t="shared" si="1"/>
        <v>14001.854485520947</v>
      </c>
      <c r="F35" s="16">
        <f t="shared" si="2"/>
        <v>36005.718581558664</v>
      </c>
      <c r="G35" s="16">
        <f t="shared" si="3"/>
        <v>1491469.3162025446</v>
      </c>
    </row>
    <row r="36" spans="1:10" x14ac:dyDescent="0.25">
      <c r="A36" s="108">
        <v>26</v>
      </c>
      <c r="B36" s="108">
        <v>26</v>
      </c>
      <c r="C36" s="16">
        <f t="shared" ref="C36:C69" si="7">+G35</f>
        <v>1491469.3162025446</v>
      </c>
      <c r="D36" s="16">
        <f t="shared" si="0"/>
        <v>50007.573067079611</v>
      </c>
      <c r="E36" s="16">
        <f t="shared" si="1"/>
        <v>13671.802065189993</v>
      </c>
      <c r="F36" s="16">
        <f t="shared" si="2"/>
        <v>36335.771001889618</v>
      </c>
      <c r="G36" s="16">
        <f t="shared" si="3"/>
        <v>1455133.545200655</v>
      </c>
    </row>
    <row r="37" spans="1:10" x14ac:dyDescent="0.25">
      <c r="A37" s="108">
        <v>27</v>
      </c>
      <c r="B37" s="108">
        <v>27</v>
      </c>
      <c r="C37" s="16">
        <f t="shared" si="7"/>
        <v>1455133.545200655</v>
      </c>
      <c r="D37" s="16">
        <f t="shared" si="0"/>
        <v>50007.573067079611</v>
      </c>
      <c r="E37" s="16">
        <f t="shared" si="1"/>
        <v>13338.724164339337</v>
      </c>
      <c r="F37" s="16">
        <f t="shared" si="2"/>
        <v>36668.848902740276</v>
      </c>
      <c r="G37" s="16">
        <f t="shared" si="3"/>
        <v>1418464.6962979147</v>
      </c>
    </row>
    <row r="38" spans="1:10" x14ac:dyDescent="0.25">
      <c r="A38" s="108">
        <v>28</v>
      </c>
      <c r="B38" s="108">
        <v>28</v>
      </c>
      <c r="C38" s="16">
        <f t="shared" si="7"/>
        <v>1418464.6962979147</v>
      </c>
      <c r="D38" s="16">
        <f t="shared" si="0"/>
        <v>50007.573067079611</v>
      </c>
      <c r="E38" s="16">
        <f t="shared" si="1"/>
        <v>13002.593049397552</v>
      </c>
      <c r="F38" s="16">
        <f t="shared" si="2"/>
        <v>37004.980017682057</v>
      </c>
      <c r="G38" s="16">
        <f t="shared" si="3"/>
        <v>1381459.7162802326</v>
      </c>
    </row>
    <row r="39" spans="1:10" x14ac:dyDescent="0.25">
      <c r="A39" s="108">
        <v>29</v>
      </c>
      <c r="B39" s="108">
        <v>29</v>
      </c>
      <c r="C39" s="16">
        <f t="shared" si="7"/>
        <v>1381459.7162802326</v>
      </c>
      <c r="D39" s="16">
        <f t="shared" si="0"/>
        <v>50007.573067079611</v>
      </c>
      <c r="E39" s="16">
        <f t="shared" si="1"/>
        <v>12663.380732568798</v>
      </c>
      <c r="F39" s="16">
        <f t="shared" si="2"/>
        <v>37344.192334510815</v>
      </c>
      <c r="G39" s="16">
        <f t="shared" si="3"/>
        <v>1344115.5239457218</v>
      </c>
    </row>
    <row r="40" spans="1:10" x14ac:dyDescent="0.25">
      <c r="A40" s="108">
        <v>30</v>
      </c>
      <c r="B40" s="108">
        <v>30</v>
      </c>
      <c r="C40" s="16">
        <f t="shared" si="7"/>
        <v>1344115.5239457218</v>
      </c>
      <c r="D40" s="16">
        <f t="shared" si="0"/>
        <v>50007.573067079611</v>
      </c>
      <c r="E40" s="16">
        <f t="shared" si="1"/>
        <v>12321.058969502448</v>
      </c>
      <c r="F40" s="16">
        <f t="shared" si="2"/>
        <v>37686.514097577165</v>
      </c>
      <c r="G40" s="16">
        <f t="shared" si="3"/>
        <v>1306429.0098481446</v>
      </c>
    </row>
    <row r="41" spans="1:10" x14ac:dyDescent="0.25">
      <c r="A41" s="108">
        <v>31</v>
      </c>
      <c r="B41" s="108">
        <v>31</v>
      </c>
      <c r="C41" s="16">
        <f t="shared" si="7"/>
        <v>1306429.0098481446</v>
      </c>
      <c r="D41" s="16">
        <f t="shared" si="0"/>
        <v>50007.573067079611</v>
      </c>
      <c r="E41" s="16">
        <f t="shared" si="1"/>
        <v>11975.599256941327</v>
      </c>
      <c r="F41" s="16">
        <f t="shared" si="2"/>
        <v>38031.973810138283</v>
      </c>
      <c r="G41" s="16">
        <f t="shared" si="3"/>
        <v>1268397.0360380064</v>
      </c>
    </row>
    <row r="42" spans="1:10" x14ac:dyDescent="0.25">
      <c r="A42" s="108">
        <v>32</v>
      </c>
      <c r="B42" s="108">
        <v>32</v>
      </c>
      <c r="C42" s="16">
        <f t="shared" si="7"/>
        <v>1268397.0360380064</v>
      </c>
      <c r="D42" s="16">
        <f t="shared" si="0"/>
        <v>50007.573067079611</v>
      </c>
      <c r="E42" s="16">
        <f t="shared" si="1"/>
        <v>11626.972830348393</v>
      </c>
      <c r="F42" s="16">
        <f t="shared" si="2"/>
        <v>38380.600236731218</v>
      </c>
      <c r="G42" s="16">
        <f t="shared" si="3"/>
        <v>1230016.4358012753</v>
      </c>
    </row>
    <row r="43" spans="1:10" x14ac:dyDescent="0.25">
      <c r="A43" s="108">
        <v>33</v>
      </c>
      <c r="B43" s="108">
        <v>33</v>
      </c>
      <c r="C43" s="16">
        <f t="shared" si="7"/>
        <v>1230016.4358012753</v>
      </c>
      <c r="D43" s="16">
        <f t="shared" si="0"/>
        <v>50007.573067079611</v>
      </c>
      <c r="E43" s="16">
        <f t="shared" si="1"/>
        <v>11275.15066151169</v>
      </c>
      <c r="F43" s="16">
        <f t="shared" si="2"/>
        <v>38732.422405567922</v>
      </c>
      <c r="G43" s="16">
        <f t="shared" si="3"/>
        <v>1191284.0133957074</v>
      </c>
    </row>
    <row r="44" spans="1:10" x14ac:dyDescent="0.25">
      <c r="A44" s="108">
        <v>34</v>
      </c>
      <c r="B44" s="108">
        <v>34</v>
      </c>
      <c r="C44" s="16">
        <f t="shared" si="7"/>
        <v>1191284.0133957074</v>
      </c>
      <c r="D44" s="16">
        <f t="shared" si="0"/>
        <v>50007.573067079611</v>
      </c>
      <c r="E44" s="16">
        <f t="shared" si="1"/>
        <v>10920.103456127317</v>
      </c>
      <c r="F44" s="16">
        <f t="shared" si="2"/>
        <v>39087.469610952292</v>
      </c>
      <c r="G44" s="16">
        <f t="shared" si="3"/>
        <v>1152196.543784755</v>
      </c>
    </row>
    <row r="45" spans="1:10" x14ac:dyDescent="0.25">
      <c r="A45" s="108">
        <v>35</v>
      </c>
      <c r="B45" s="108">
        <v>35</v>
      </c>
      <c r="C45" s="16">
        <f t="shared" si="7"/>
        <v>1152196.543784755</v>
      </c>
      <c r="D45" s="16">
        <f t="shared" si="0"/>
        <v>50007.573067079611</v>
      </c>
      <c r="E45" s="16">
        <f t="shared" si="1"/>
        <v>10561.801651360254</v>
      </c>
      <c r="F45" s="16">
        <f t="shared" si="2"/>
        <v>39445.771415719355</v>
      </c>
      <c r="G45" s="16">
        <f t="shared" si="3"/>
        <v>1112750.7723690358</v>
      </c>
    </row>
    <row r="46" spans="1:10" x14ac:dyDescent="0.25">
      <c r="A46" s="108">
        <v>36</v>
      </c>
      <c r="B46" s="108">
        <v>36</v>
      </c>
      <c r="C46" s="16">
        <f t="shared" si="7"/>
        <v>1112750.7723690358</v>
      </c>
      <c r="D46" s="16">
        <f t="shared" si="0"/>
        <v>50007.573067079611</v>
      </c>
      <c r="E46" s="16">
        <f t="shared" si="1"/>
        <v>10200.215413382828</v>
      </c>
      <c r="F46" s="16">
        <f t="shared" si="2"/>
        <v>39807.357653696781</v>
      </c>
      <c r="G46" s="16">
        <f t="shared" si="3"/>
        <v>1072943.414715339</v>
      </c>
      <c r="H46" s="17">
        <f>SUM(E35:E46)</f>
        <v>145559.2567361909</v>
      </c>
      <c r="I46" s="17">
        <f>SUM(F35:F46)</f>
        <v>454531.62006876449</v>
      </c>
      <c r="J46" s="74">
        <f>C46-I46</f>
        <v>658219.15230027121</v>
      </c>
    </row>
    <row r="47" spans="1:10" x14ac:dyDescent="0.25">
      <c r="A47" s="108">
        <v>37</v>
      </c>
      <c r="B47" s="108">
        <v>37</v>
      </c>
      <c r="C47" s="16">
        <f t="shared" si="7"/>
        <v>1072943.414715339</v>
      </c>
      <c r="D47" s="16">
        <f t="shared" si="0"/>
        <v>50007.573067079611</v>
      </c>
      <c r="E47" s="16">
        <f t="shared" si="1"/>
        <v>9835.3146348906066</v>
      </c>
      <c r="F47" s="16">
        <f t="shared" si="2"/>
        <v>40172.258432189003</v>
      </c>
      <c r="G47" s="16">
        <f t="shared" si="3"/>
        <v>1032771.15628315</v>
      </c>
    </row>
    <row r="48" spans="1:10" x14ac:dyDescent="0.25">
      <c r="A48" s="108">
        <v>38</v>
      </c>
      <c r="B48" s="108">
        <v>38</v>
      </c>
      <c r="C48" s="16">
        <f t="shared" si="7"/>
        <v>1032771.15628315</v>
      </c>
      <c r="D48" s="16">
        <f t="shared" si="0"/>
        <v>50007.573067079611</v>
      </c>
      <c r="E48" s="16">
        <f t="shared" si="1"/>
        <v>9467.0689325955409</v>
      </c>
      <c r="F48" s="16">
        <f t="shared" si="2"/>
        <v>40540.504134484072</v>
      </c>
      <c r="G48" s="16">
        <f t="shared" si="3"/>
        <v>992230.65214866586</v>
      </c>
    </row>
    <row r="49" spans="1:10" x14ac:dyDescent="0.25">
      <c r="A49" s="108">
        <v>39</v>
      </c>
      <c r="B49" s="108">
        <v>39</v>
      </c>
      <c r="C49" s="16">
        <f t="shared" si="7"/>
        <v>992230.65214866586</v>
      </c>
      <c r="D49" s="16">
        <f t="shared" si="0"/>
        <v>50007.573067079611</v>
      </c>
      <c r="E49" s="16">
        <f t="shared" si="1"/>
        <v>9095.4476446961035</v>
      </c>
      <c r="F49" s="16">
        <f t="shared" si="2"/>
        <v>40912.125422383506</v>
      </c>
      <c r="G49" s="16">
        <f t="shared" si="3"/>
        <v>951318.52672628232</v>
      </c>
    </row>
    <row r="50" spans="1:10" x14ac:dyDescent="0.25">
      <c r="A50" s="108">
        <v>40</v>
      </c>
      <c r="B50" s="108">
        <v>40</v>
      </c>
      <c r="C50" s="16">
        <f t="shared" si="7"/>
        <v>951318.52672628232</v>
      </c>
      <c r="D50" s="16">
        <f t="shared" si="0"/>
        <v>50007.573067079611</v>
      </c>
      <c r="E50" s="16">
        <f t="shared" si="1"/>
        <v>8720.4198283242549</v>
      </c>
      <c r="F50" s="16">
        <f t="shared" si="2"/>
        <v>41287.15323875536</v>
      </c>
      <c r="G50" s="16">
        <f t="shared" si="3"/>
        <v>910031.37348752702</v>
      </c>
    </row>
    <row r="51" spans="1:10" x14ac:dyDescent="0.25">
      <c r="A51" s="108">
        <v>41</v>
      </c>
      <c r="B51" s="108">
        <v>41</v>
      </c>
      <c r="C51" s="16">
        <f t="shared" si="7"/>
        <v>910031.37348752702</v>
      </c>
      <c r="D51" s="16">
        <f t="shared" si="0"/>
        <v>50007.573067079611</v>
      </c>
      <c r="E51" s="16">
        <f t="shared" si="1"/>
        <v>8341.9542569689966</v>
      </c>
      <c r="F51" s="16">
        <f t="shared" si="2"/>
        <v>41665.618810110616</v>
      </c>
      <c r="G51" s="16">
        <f t="shared" si="3"/>
        <v>868365.75467741641</v>
      </c>
    </row>
    <row r="52" spans="1:10" x14ac:dyDescent="0.25">
      <c r="A52" s="108">
        <v>42</v>
      </c>
      <c r="B52" s="108">
        <v>42</v>
      </c>
      <c r="C52" s="16">
        <f t="shared" si="7"/>
        <v>868365.75467741641</v>
      </c>
      <c r="D52" s="16">
        <f t="shared" si="0"/>
        <v>50007.573067079611</v>
      </c>
      <c r="E52" s="16">
        <f t="shared" si="1"/>
        <v>7960.0194178763168</v>
      </c>
      <c r="F52" s="16">
        <f t="shared" si="2"/>
        <v>42047.553649203292</v>
      </c>
      <c r="G52" s="16">
        <f t="shared" si="3"/>
        <v>826318.20102821314</v>
      </c>
    </row>
    <row r="53" spans="1:10" x14ac:dyDescent="0.25">
      <c r="A53" s="108">
        <v>43</v>
      </c>
      <c r="B53" s="108">
        <v>43</v>
      </c>
      <c r="C53" s="16">
        <f t="shared" si="7"/>
        <v>826318.20102821314</v>
      </c>
      <c r="D53" s="16">
        <f t="shared" si="0"/>
        <v>50007.573067079611</v>
      </c>
      <c r="E53" s="16">
        <f t="shared" si="1"/>
        <v>7574.583509425287</v>
      </c>
      <c r="F53" s="16">
        <f t="shared" si="2"/>
        <v>42432.98955765432</v>
      </c>
      <c r="G53" s="16">
        <f t="shared" si="3"/>
        <v>783885.21147055877</v>
      </c>
    </row>
    <row r="54" spans="1:10" x14ac:dyDescent="0.25">
      <c r="A54" s="108">
        <v>44</v>
      </c>
      <c r="B54" s="108">
        <v>44</v>
      </c>
      <c r="C54" s="16">
        <f t="shared" si="7"/>
        <v>783885.21147055877</v>
      </c>
      <c r="D54" s="16">
        <f t="shared" si="0"/>
        <v>50007.573067079611</v>
      </c>
      <c r="E54" s="16">
        <f t="shared" si="1"/>
        <v>7185.6144384801219</v>
      </c>
      <c r="F54" s="16">
        <f t="shared" si="2"/>
        <v>42821.958628599488</v>
      </c>
      <c r="G54" s="16">
        <f t="shared" si="3"/>
        <v>741063.25284195924</v>
      </c>
    </row>
    <row r="55" spans="1:10" x14ac:dyDescent="0.25">
      <c r="A55" s="108">
        <v>45</v>
      </c>
      <c r="B55" s="108">
        <v>45</v>
      </c>
      <c r="C55" s="16">
        <f t="shared" si="7"/>
        <v>741063.25284195924</v>
      </c>
      <c r="D55" s="16">
        <f t="shared" si="0"/>
        <v>50007.573067079611</v>
      </c>
      <c r="E55" s="16">
        <f t="shared" si="1"/>
        <v>6793.0798177179595</v>
      </c>
      <c r="F55" s="16">
        <f t="shared" si="2"/>
        <v>43214.493249361651</v>
      </c>
      <c r="G55" s="16">
        <f t="shared" si="3"/>
        <v>697848.75959259761</v>
      </c>
    </row>
    <row r="56" spans="1:10" x14ac:dyDescent="0.25">
      <c r="A56" s="108">
        <v>46</v>
      </c>
      <c r="B56" s="108">
        <v>46</v>
      </c>
      <c r="C56" s="16">
        <f t="shared" si="7"/>
        <v>697848.75959259761</v>
      </c>
      <c r="D56" s="16">
        <f t="shared" si="0"/>
        <v>50007.573067079611</v>
      </c>
      <c r="E56" s="16">
        <f t="shared" si="1"/>
        <v>6396.9469629321457</v>
      </c>
      <c r="F56" s="16">
        <f t="shared" si="2"/>
        <v>43610.626104147465</v>
      </c>
      <c r="G56" s="16">
        <f t="shared" si="3"/>
        <v>654238.1334884502</v>
      </c>
    </row>
    <row r="57" spans="1:10" x14ac:dyDescent="0.25">
      <c r="A57" s="108">
        <v>47</v>
      </c>
      <c r="B57" s="108">
        <v>47</v>
      </c>
      <c r="C57" s="16">
        <f t="shared" si="7"/>
        <v>654238.1334884502</v>
      </c>
      <c r="D57" s="16">
        <f t="shared" si="0"/>
        <v>50007.573067079611</v>
      </c>
      <c r="E57" s="16">
        <f t="shared" si="1"/>
        <v>5997.1828903107935</v>
      </c>
      <c r="F57" s="16">
        <f t="shared" si="2"/>
        <v>44010.390176768815</v>
      </c>
      <c r="G57" s="16">
        <f t="shared" si="3"/>
        <v>610227.74331168144</v>
      </c>
    </row>
    <row r="58" spans="1:10" x14ac:dyDescent="0.25">
      <c r="A58" s="108">
        <v>48</v>
      </c>
      <c r="B58" s="108">
        <v>48</v>
      </c>
      <c r="C58" s="16">
        <f t="shared" si="7"/>
        <v>610227.74331168144</v>
      </c>
      <c r="D58" s="16">
        <f t="shared" si="0"/>
        <v>50007.573067079611</v>
      </c>
      <c r="E58" s="16">
        <f t="shared" si="1"/>
        <v>5593.7543136904133</v>
      </c>
      <c r="F58" s="16">
        <f t="shared" si="2"/>
        <v>44413.818753389198</v>
      </c>
      <c r="G58" s="16">
        <f t="shared" si="3"/>
        <v>565813.92455829226</v>
      </c>
      <c r="H58" s="17">
        <f>SUM(E47:E58)</f>
        <v>92961.386647908526</v>
      </c>
      <c r="I58" s="17">
        <f>SUM(F47:F58)</f>
        <v>507129.49015704676</v>
      </c>
      <c r="J58" s="74">
        <f>C58-I58</f>
        <v>103098.25315463467</v>
      </c>
    </row>
    <row r="59" spans="1:10" x14ac:dyDescent="0.25">
      <c r="A59" s="108">
        <v>49</v>
      </c>
      <c r="B59" s="108">
        <v>49</v>
      </c>
      <c r="C59" s="16">
        <f t="shared" si="7"/>
        <v>565813.92455829226</v>
      </c>
      <c r="D59" s="16">
        <f t="shared" si="0"/>
        <v>50007.573067079611</v>
      </c>
      <c r="E59" s="16">
        <f t="shared" si="1"/>
        <v>5186.6276417843455</v>
      </c>
      <c r="F59" s="16">
        <f t="shared" si="2"/>
        <v>44820.945425295264</v>
      </c>
      <c r="G59" s="16">
        <f t="shared" si="3"/>
        <v>520992.97913299699</v>
      </c>
    </row>
    <row r="60" spans="1:10" x14ac:dyDescent="0.25">
      <c r="A60" s="108">
        <v>50</v>
      </c>
      <c r="B60" s="108">
        <v>50</v>
      </c>
      <c r="C60" s="16">
        <f t="shared" si="7"/>
        <v>520992.97913299699</v>
      </c>
      <c r="D60" s="16">
        <f t="shared" si="0"/>
        <v>50007.573067079611</v>
      </c>
      <c r="E60" s="16">
        <f t="shared" si="1"/>
        <v>4775.7689753858058</v>
      </c>
      <c r="F60" s="16">
        <f t="shared" si="2"/>
        <v>45231.804091693804</v>
      </c>
      <c r="G60" s="16">
        <f t="shared" si="3"/>
        <v>475761.17504130316</v>
      </c>
    </row>
    <row r="61" spans="1:10" x14ac:dyDescent="0.25">
      <c r="A61" s="108">
        <v>51</v>
      </c>
      <c r="B61" s="108">
        <v>51</v>
      </c>
      <c r="C61" s="16">
        <f t="shared" si="7"/>
        <v>475761.17504130316</v>
      </c>
      <c r="D61" s="16">
        <f t="shared" si="0"/>
        <v>50007.573067079611</v>
      </c>
      <c r="E61" s="16">
        <f t="shared" si="1"/>
        <v>4361.1441045452784</v>
      </c>
      <c r="F61" s="16">
        <f t="shared" si="2"/>
        <v>45646.42896253433</v>
      </c>
      <c r="G61" s="16">
        <f t="shared" si="3"/>
        <v>430114.7460787688</v>
      </c>
    </row>
    <row r="62" spans="1:10" x14ac:dyDescent="0.25">
      <c r="A62" s="108">
        <v>52</v>
      </c>
      <c r="B62" s="108">
        <v>52</v>
      </c>
      <c r="C62" s="16">
        <f t="shared" si="7"/>
        <v>430114.7460787688</v>
      </c>
      <c r="D62" s="16">
        <f t="shared" si="0"/>
        <v>50007.573067079611</v>
      </c>
      <c r="E62" s="16">
        <f t="shared" si="1"/>
        <v>3942.7185057220472</v>
      </c>
      <c r="F62" s="16">
        <f t="shared" si="2"/>
        <v>46064.854561357562</v>
      </c>
      <c r="G62" s="16">
        <f t="shared" si="3"/>
        <v>384049.89151741122</v>
      </c>
    </row>
    <row r="63" spans="1:10" x14ac:dyDescent="0.25">
      <c r="A63" s="108">
        <v>53</v>
      </c>
      <c r="B63" s="108">
        <v>53</v>
      </c>
      <c r="C63" s="16">
        <f t="shared" si="7"/>
        <v>384049.89151741122</v>
      </c>
      <c r="D63" s="16">
        <f t="shared" si="0"/>
        <v>50007.573067079611</v>
      </c>
      <c r="E63" s="16">
        <f t="shared" si="1"/>
        <v>3520.4573389096026</v>
      </c>
      <c r="F63" s="16">
        <f t="shared" si="2"/>
        <v>46487.115728170007</v>
      </c>
      <c r="G63" s="16">
        <f t="shared" si="3"/>
        <v>337562.77578924119</v>
      </c>
    </row>
    <row r="64" spans="1:10" x14ac:dyDescent="0.25">
      <c r="A64" s="108">
        <v>54</v>
      </c>
      <c r="B64" s="108">
        <v>54</v>
      </c>
      <c r="C64" s="16">
        <f t="shared" si="7"/>
        <v>337562.77578924119</v>
      </c>
      <c r="D64" s="16">
        <f t="shared" si="0"/>
        <v>50007.573067079611</v>
      </c>
      <c r="E64" s="16">
        <f t="shared" si="1"/>
        <v>3094.3254447347113</v>
      </c>
      <c r="F64" s="16">
        <f t="shared" si="2"/>
        <v>46913.247622344898</v>
      </c>
      <c r="G64" s="16">
        <f t="shared" si="3"/>
        <v>290649.52816689631</v>
      </c>
    </row>
    <row r="65" spans="1:10" x14ac:dyDescent="0.25">
      <c r="A65" s="108">
        <v>55</v>
      </c>
      <c r="B65" s="108">
        <v>55</v>
      </c>
      <c r="C65" s="16">
        <f t="shared" si="7"/>
        <v>290649.52816689631</v>
      </c>
      <c r="D65" s="16">
        <f t="shared" si="0"/>
        <v>50007.573067079611</v>
      </c>
      <c r="E65" s="16">
        <f t="shared" si="1"/>
        <v>2664.2873415298832</v>
      </c>
      <c r="F65" s="16">
        <f t="shared" si="2"/>
        <v>47343.285725549729</v>
      </c>
      <c r="G65" s="16">
        <f t="shared" si="3"/>
        <v>243306.24244134658</v>
      </c>
    </row>
    <row r="66" spans="1:10" x14ac:dyDescent="0.25">
      <c r="A66" s="108">
        <v>56</v>
      </c>
      <c r="B66" s="108">
        <v>56</v>
      </c>
      <c r="C66" s="16">
        <f t="shared" si="7"/>
        <v>243306.24244134658</v>
      </c>
      <c r="D66" s="16">
        <f t="shared" si="0"/>
        <v>50007.573067079611</v>
      </c>
      <c r="E66" s="16">
        <f t="shared" si="1"/>
        <v>2230.3072223790105</v>
      </c>
      <c r="F66" s="16">
        <f t="shared" si="2"/>
        <v>47777.265844700603</v>
      </c>
      <c r="G66" s="16">
        <f t="shared" si="3"/>
        <v>195528.97659664598</v>
      </c>
    </row>
    <row r="67" spans="1:10" x14ac:dyDescent="0.25">
      <c r="A67" s="108">
        <v>57</v>
      </c>
      <c r="B67" s="108">
        <v>57</v>
      </c>
      <c r="C67" s="16">
        <f t="shared" si="7"/>
        <v>195528.97659664598</v>
      </c>
      <c r="D67" s="16">
        <f t="shared" si="0"/>
        <v>50007.573067079611</v>
      </c>
      <c r="E67" s="16">
        <f t="shared" si="1"/>
        <v>1792.3489521359215</v>
      </c>
      <c r="F67" s="16">
        <f t="shared" si="2"/>
        <v>48215.224114943689</v>
      </c>
      <c r="G67" s="16">
        <f t="shared" si="3"/>
        <v>147313.75248170231</v>
      </c>
    </row>
    <row r="68" spans="1:10" x14ac:dyDescent="0.25">
      <c r="A68" s="108">
        <v>58</v>
      </c>
      <c r="B68" s="108">
        <v>58</v>
      </c>
      <c r="C68" s="16">
        <f t="shared" si="7"/>
        <v>147313.75248170231</v>
      </c>
      <c r="D68" s="16">
        <f t="shared" si="0"/>
        <v>50007.573067079611</v>
      </c>
      <c r="E68" s="16">
        <f t="shared" si="1"/>
        <v>1350.3760644156046</v>
      </c>
      <c r="F68" s="16">
        <f t="shared" si="2"/>
        <v>48657.197002664005</v>
      </c>
      <c r="G68" s="16">
        <f t="shared" si="3"/>
        <v>98656.555479038303</v>
      </c>
    </row>
    <row r="69" spans="1:10" x14ac:dyDescent="0.25">
      <c r="A69" s="108">
        <v>59</v>
      </c>
      <c r="B69" s="108">
        <v>59</v>
      </c>
      <c r="C69" s="16">
        <f t="shared" si="7"/>
        <v>98656.555479038303</v>
      </c>
      <c r="D69" s="16">
        <f t="shared" si="0"/>
        <v>50007.573067079611</v>
      </c>
      <c r="E69" s="16">
        <f t="shared" si="1"/>
        <v>904.3517585578511</v>
      </c>
      <c r="F69" s="16">
        <f t="shared" si="2"/>
        <v>49103.221308521759</v>
      </c>
      <c r="G69" s="16">
        <f t="shared" si="3"/>
        <v>49553.334170516544</v>
      </c>
    </row>
    <row r="70" spans="1:10" x14ac:dyDescent="0.25">
      <c r="A70" s="108">
        <v>60</v>
      </c>
      <c r="B70" s="108">
        <v>60</v>
      </c>
      <c r="C70" s="16">
        <f t="shared" ref="C70" si="8">+G69</f>
        <v>49553.334170516544</v>
      </c>
      <c r="D70" s="16">
        <f>D69</f>
        <v>50007.573067079611</v>
      </c>
      <c r="E70" s="16">
        <f t="shared" si="1"/>
        <v>454.23889656306829</v>
      </c>
      <c r="F70" s="16">
        <f t="shared" ref="F70" si="9">D70-E70</f>
        <v>49553.334170516544</v>
      </c>
      <c r="G70" s="16">
        <f t="shared" si="3"/>
        <v>0</v>
      </c>
      <c r="H70" s="17">
        <f>SUM(E59:E70)</f>
        <v>34276.952246663132</v>
      </c>
      <c r="I70" s="17">
        <f>SUM(F59:F70)</f>
        <v>565813.92455829214</v>
      </c>
      <c r="J70" s="74">
        <f>C70-I70</f>
        <v>-516260.59038777562</v>
      </c>
    </row>
    <row r="71" spans="1:10" x14ac:dyDescent="0.25">
      <c r="A71" s="109"/>
      <c r="B71" s="109"/>
      <c r="C71" s="99"/>
      <c r="D71" s="99"/>
      <c r="E71" s="99"/>
      <c r="F71" s="99"/>
      <c r="G71" s="99"/>
    </row>
    <row r="75" spans="1:10" x14ac:dyDescent="0.25">
      <c r="D75" s="2">
        <v>1200000</v>
      </c>
      <c r="E75" s="17">
        <f>SUM(E11:E72)</f>
        <v>700454.38402477652</v>
      </c>
      <c r="F75" s="74">
        <f>D75+E75</f>
        <v>1900454.3840247765</v>
      </c>
      <c r="G75" s="74">
        <f>F75/60</f>
        <v>31674.239733746275</v>
      </c>
      <c r="H75" s="17">
        <f>SUM(H11:H72)</f>
        <v>650446.81095769699</v>
      </c>
      <c r="I75" s="17">
        <f>SUM(I11:I72)</f>
        <v>2300000</v>
      </c>
    </row>
  </sheetData>
  <mergeCells count="1">
    <mergeCell ref="B5:G6"/>
  </mergeCells>
  <phoneticPr fontId="0" type="noConversion"/>
  <printOptions horizontalCentered="1"/>
  <pageMargins left="0.43307086614173229" right="0" top="1.1811023622047245" bottom="0.98425196850393704" header="0.51181102362204722" footer="0.51181102362204722"/>
  <pageSetup scale="88" orientation="portrait" horizontalDpi="4294967293" verticalDpi="144" r:id="rId1"/>
  <headerFooter alignWithMargins="0"/>
  <rowBreaks count="1" manualBreakCount="1">
    <brk id="48" max="6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5"/>
  <sheetViews>
    <sheetView view="pageBreakPreview" topLeftCell="A4" zoomScaleSheetLayoutView="100" workbookViewId="0">
      <selection activeCell="C22" sqref="C22"/>
    </sheetView>
  </sheetViews>
  <sheetFormatPr defaultColWidth="12.5546875" defaultRowHeight="13.8" x14ac:dyDescent="0.25"/>
  <cols>
    <col min="1" max="1" width="37.88671875" style="2" customWidth="1"/>
    <col min="2" max="5" width="12.88671875" style="2" bestFit="1" customWidth="1"/>
    <col min="6" max="6" width="12.5546875" style="2"/>
    <col min="7" max="7" width="2.44140625" style="2" customWidth="1"/>
    <col min="8" max="16384" width="12.5546875" style="2"/>
  </cols>
  <sheetData>
    <row r="1" spans="1:6" x14ac:dyDescent="0.25">
      <c r="A1" s="1" t="str">
        <f>Interest!A1</f>
        <v>Ayan Sharma</v>
      </c>
    </row>
    <row r="2" spans="1:6" x14ac:dyDescent="0.25">
      <c r="A2" s="17"/>
    </row>
    <row r="3" spans="1:6" x14ac:dyDescent="0.25">
      <c r="A3" s="89"/>
    </row>
    <row r="4" spans="1:6" x14ac:dyDescent="0.25">
      <c r="A4" s="1" t="s">
        <v>42</v>
      </c>
    </row>
    <row r="6" spans="1:6" x14ac:dyDescent="0.25">
      <c r="A6" s="1" t="s">
        <v>74</v>
      </c>
    </row>
    <row r="7" spans="1:6" x14ac:dyDescent="0.25">
      <c r="A7" s="189"/>
      <c r="B7" s="196" t="s">
        <v>105</v>
      </c>
      <c r="C7" s="197"/>
      <c r="D7" s="197"/>
      <c r="E7" s="197"/>
      <c r="F7" s="198"/>
    </row>
    <row r="8" spans="1:6" x14ac:dyDescent="0.25">
      <c r="A8" s="190"/>
      <c r="B8" s="27">
        <v>2026</v>
      </c>
      <c r="C8" s="27">
        <v>2027</v>
      </c>
      <c r="D8" s="27">
        <v>2028</v>
      </c>
      <c r="E8" s="27">
        <v>2029</v>
      </c>
      <c r="F8" s="27">
        <v>2030</v>
      </c>
    </row>
    <row r="9" spans="1:6" x14ac:dyDescent="0.25">
      <c r="A9" s="43" t="s">
        <v>109</v>
      </c>
      <c r="B9" s="38"/>
      <c r="C9" s="33"/>
      <c r="D9" s="25"/>
      <c r="E9" s="33"/>
      <c r="F9" s="33"/>
    </row>
    <row r="10" spans="1:6" x14ac:dyDescent="0.25">
      <c r="A10" s="44" t="s">
        <v>51</v>
      </c>
      <c r="B10" s="40">
        <f>+profit!B36</f>
        <v>1049999.5</v>
      </c>
      <c r="C10" s="40">
        <f>+profit!C36</f>
        <v>1128854.6349999998</v>
      </c>
      <c r="D10" s="40">
        <f>+profit!D36</f>
        <v>1221855.7466499992</v>
      </c>
      <c r="E10" s="40">
        <f>+profit!E36</f>
        <v>1451632.7138285022</v>
      </c>
      <c r="F10" s="34">
        <f>+profit!F36</f>
        <v>1558003.2664574273</v>
      </c>
    </row>
    <row r="11" spans="1:6" x14ac:dyDescent="0.25">
      <c r="A11" s="44" t="s">
        <v>52</v>
      </c>
      <c r="B11" s="45">
        <f>+profit!B38</f>
        <v>1253917.5</v>
      </c>
      <c r="C11" s="45">
        <f>+profit!C38</f>
        <v>1065829.875</v>
      </c>
      <c r="D11" s="45">
        <f>+profit!D38</f>
        <v>905955.39374999993</v>
      </c>
      <c r="E11" s="45">
        <f>+profit!E38</f>
        <v>770062.08468750003</v>
      </c>
      <c r="F11" s="16">
        <f>+profit!F38</f>
        <v>654552.77198437497</v>
      </c>
    </row>
    <row r="12" spans="1:6" x14ac:dyDescent="0.25">
      <c r="A12" s="44" t="s">
        <v>209</v>
      </c>
      <c r="B12" s="40">
        <f>profit!B28</f>
        <v>0</v>
      </c>
      <c r="C12" s="40">
        <f>profit!C28</f>
        <v>0</v>
      </c>
      <c r="D12" s="40">
        <f>profit!D28</f>
        <v>0</v>
      </c>
      <c r="E12" s="40">
        <f>profit!E28</f>
        <v>0</v>
      </c>
      <c r="F12" s="47">
        <f>profit!F28</f>
        <v>0</v>
      </c>
    </row>
    <row r="13" spans="1:6" x14ac:dyDescent="0.25">
      <c r="A13" s="44" t="s">
        <v>90</v>
      </c>
      <c r="B13" s="46">
        <f t="shared" ref="B13:F13" si="0">SUM(B10:B12)</f>
        <v>2303917</v>
      </c>
      <c r="C13" s="46">
        <f t="shared" si="0"/>
        <v>2194684.5099999998</v>
      </c>
      <c r="D13" s="46">
        <f t="shared" si="0"/>
        <v>2127811.140399999</v>
      </c>
      <c r="E13" s="46">
        <f t="shared" si="0"/>
        <v>2221694.7985160025</v>
      </c>
      <c r="F13" s="36">
        <f t="shared" si="0"/>
        <v>2212556.0384418024</v>
      </c>
    </row>
    <row r="14" spans="1:6" x14ac:dyDescent="0.25">
      <c r="A14" s="44"/>
      <c r="B14" s="40"/>
      <c r="C14" s="40"/>
      <c r="D14" s="40"/>
      <c r="E14" s="40"/>
      <c r="F14" s="34"/>
    </row>
    <row r="15" spans="1:6" x14ac:dyDescent="0.25">
      <c r="A15" s="44" t="s">
        <v>110</v>
      </c>
      <c r="B15" s="40"/>
      <c r="C15" s="40"/>
      <c r="D15" s="40"/>
      <c r="E15" s="40"/>
      <c r="F15" s="34"/>
    </row>
    <row r="16" spans="1:6" x14ac:dyDescent="0.25">
      <c r="A16" s="44" t="s">
        <v>56</v>
      </c>
      <c r="B16" s="40">
        <f>+Cash!B20</f>
        <v>0</v>
      </c>
      <c r="C16" s="40">
        <f>+Cash!C20</f>
        <v>0</v>
      </c>
      <c r="D16" s="40">
        <f>+Cash!D20</f>
        <v>0</v>
      </c>
      <c r="E16" s="40">
        <f>+Cash!E20</f>
        <v>0</v>
      </c>
      <c r="F16" s="34">
        <f>+Cash!F20</f>
        <v>0</v>
      </c>
    </row>
    <row r="17" spans="1:6" x14ac:dyDescent="0.25">
      <c r="A17" s="44" t="s">
        <v>209</v>
      </c>
      <c r="B17" s="40">
        <f>profit!B28</f>
        <v>0</v>
      </c>
      <c r="C17" s="40">
        <f>profit!C28</f>
        <v>0</v>
      </c>
      <c r="D17" s="40">
        <f>profit!D28</f>
        <v>0</v>
      </c>
      <c r="E17" s="40">
        <f>profit!E28</f>
        <v>0</v>
      </c>
      <c r="F17" s="34">
        <f>profit!F28</f>
        <v>0</v>
      </c>
    </row>
    <row r="18" spans="1:6" x14ac:dyDescent="0.25">
      <c r="A18" s="44" t="s">
        <v>13</v>
      </c>
      <c r="B18" s="40" t="s">
        <v>13</v>
      </c>
      <c r="C18" s="40" t="s">
        <v>13</v>
      </c>
      <c r="D18" s="40" t="s">
        <v>13</v>
      </c>
      <c r="E18" s="40" t="s">
        <v>13</v>
      </c>
      <c r="F18" s="34" t="s">
        <v>13</v>
      </c>
    </row>
    <row r="19" spans="1:6" x14ac:dyDescent="0.25">
      <c r="A19" s="44" t="s">
        <v>79</v>
      </c>
      <c r="B19" s="38">
        <f t="shared" ref="B19:F19" si="1">SUM(B16:B18)</f>
        <v>0</v>
      </c>
      <c r="C19" s="38">
        <f t="shared" si="1"/>
        <v>0</v>
      </c>
      <c r="D19" s="38">
        <f t="shared" si="1"/>
        <v>0</v>
      </c>
      <c r="E19" s="38">
        <f t="shared" si="1"/>
        <v>0</v>
      </c>
      <c r="F19" s="33">
        <f t="shared" si="1"/>
        <v>0</v>
      </c>
    </row>
    <row r="20" spans="1:6" x14ac:dyDescent="0.25">
      <c r="A20" s="44"/>
      <c r="B20" s="33"/>
      <c r="C20" s="33"/>
      <c r="D20" s="33"/>
      <c r="E20" s="33"/>
      <c r="F20" s="33"/>
    </row>
    <row r="21" spans="1:6" x14ac:dyDescent="0.25">
      <c r="A21" s="44" t="s">
        <v>75</v>
      </c>
      <c r="B21" s="34"/>
      <c r="C21" s="34"/>
      <c r="D21" s="34"/>
      <c r="E21" s="34"/>
      <c r="F21" s="34"/>
    </row>
    <row r="22" spans="1:6" x14ac:dyDescent="0.25">
      <c r="A22" s="37" t="s">
        <v>86</v>
      </c>
      <c r="B22" s="47" t="e">
        <f t="shared" ref="B22:F22" si="2">B13/B19</f>
        <v>#DIV/0!</v>
      </c>
      <c r="C22" s="47" t="e">
        <f t="shared" si="2"/>
        <v>#DIV/0!</v>
      </c>
      <c r="D22" s="47" t="e">
        <f t="shared" si="2"/>
        <v>#DIV/0!</v>
      </c>
      <c r="E22" s="47" t="e">
        <f t="shared" si="2"/>
        <v>#DIV/0!</v>
      </c>
      <c r="F22" s="47" t="e">
        <f t="shared" si="2"/>
        <v>#DIV/0!</v>
      </c>
    </row>
    <row r="23" spans="1:6" x14ac:dyDescent="0.25">
      <c r="A23" s="20"/>
    </row>
    <row r="24" spans="1:6" x14ac:dyDescent="0.25">
      <c r="A24" s="20" t="s">
        <v>89</v>
      </c>
      <c r="B24" s="48" t="e">
        <f>AVERAGE(B22:F22)</f>
        <v>#DIV/0!</v>
      </c>
    </row>
    <row r="25" spans="1:6" x14ac:dyDescent="0.25">
      <c r="A25" s="20"/>
    </row>
  </sheetData>
  <mergeCells count="2">
    <mergeCell ref="A7:A8"/>
    <mergeCell ref="B7:F7"/>
  </mergeCells>
  <phoneticPr fontId="0" type="noConversion"/>
  <printOptions horizontalCentered="1"/>
  <pageMargins left="0.43307086614173229" right="0.74803149606299213" top="1.299212598425197" bottom="0.6692913385826772" header="0.47244094488188981" footer="0.51181102362204722"/>
  <pageSetup scale="91" orientation="portrait" horizontalDpi="4294967293" verticalDpi="144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34"/>
  <sheetViews>
    <sheetView view="pageBreakPreview" topLeftCell="A16" zoomScaleSheetLayoutView="100" workbookViewId="0">
      <selection activeCell="B33" sqref="B33"/>
    </sheetView>
  </sheetViews>
  <sheetFormatPr defaultColWidth="9.109375" defaultRowHeight="13.8" x14ac:dyDescent="0.25"/>
  <cols>
    <col min="1" max="1" width="31.5546875" style="2" customWidth="1"/>
    <col min="2" max="2" width="15.6640625" style="2" customWidth="1"/>
    <col min="3" max="6" width="12.88671875" style="2" bestFit="1" customWidth="1"/>
    <col min="7" max="7" width="1.5546875" style="2" customWidth="1"/>
    <col min="8" max="16384" width="9.109375" style="2"/>
  </cols>
  <sheetData>
    <row r="1" spans="1:4" x14ac:dyDescent="0.25">
      <c r="A1" s="1" t="str">
        <f>'Annex 5 DSCR'!A1</f>
        <v>Ayan Sharma</v>
      </c>
    </row>
    <row r="2" spans="1:4" x14ac:dyDescent="0.25">
      <c r="A2" s="17"/>
    </row>
    <row r="3" spans="1:4" x14ac:dyDescent="0.25">
      <c r="A3" s="1"/>
    </row>
    <row r="4" spans="1:4" x14ac:dyDescent="0.25">
      <c r="A4" s="1" t="s">
        <v>125</v>
      </c>
    </row>
    <row r="6" spans="1:4" x14ac:dyDescent="0.25">
      <c r="A6" s="1" t="s">
        <v>45</v>
      </c>
    </row>
    <row r="8" spans="1:4" x14ac:dyDescent="0.25">
      <c r="A8" s="2" t="s">
        <v>119</v>
      </c>
      <c r="B8" s="213" t="s">
        <v>102</v>
      </c>
      <c r="C8" s="213"/>
      <c r="D8" s="213"/>
    </row>
    <row r="9" spans="1:4" x14ac:dyDescent="0.25">
      <c r="B9" s="214" t="s">
        <v>72</v>
      </c>
      <c r="C9" s="214"/>
      <c r="D9" s="214"/>
    </row>
    <row r="11" spans="1:4" x14ac:dyDescent="0.25">
      <c r="A11" s="2" t="s">
        <v>120</v>
      </c>
      <c r="B11" s="2" t="s">
        <v>73</v>
      </c>
    </row>
    <row r="13" spans="1:4" x14ac:dyDescent="0.25">
      <c r="A13" s="2" t="s">
        <v>71</v>
      </c>
      <c r="B13" s="2" t="s">
        <v>0</v>
      </c>
    </row>
    <row r="15" spans="1:4" x14ac:dyDescent="0.25">
      <c r="A15" s="1" t="s">
        <v>53</v>
      </c>
    </row>
    <row r="17" spans="1:6" x14ac:dyDescent="0.25">
      <c r="A17" s="189" t="s">
        <v>4</v>
      </c>
      <c r="B17" s="210" t="s">
        <v>101</v>
      </c>
      <c r="C17" s="211"/>
      <c r="D17" s="211"/>
      <c r="E17" s="211"/>
      <c r="F17" s="211"/>
    </row>
    <row r="18" spans="1:6" x14ac:dyDescent="0.25">
      <c r="A18" s="190"/>
      <c r="B18" s="27">
        <v>2026</v>
      </c>
      <c r="C18" s="27">
        <v>2027</v>
      </c>
      <c r="D18" s="27">
        <v>2028</v>
      </c>
      <c r="E18" s="27">
        <v>2029</v>
      </c>
      <c r="F18" s="27">
        <v>2030</v>
      </c>
    </row>
    <row r="19" spans="1:6" x14ac:dyDescent="0.25">
      <c r="A19" s="23" t="s">
        <v>2</v>
      </c>
      <c r="B19" s="33">
        <f>+profit!B32</f>
        <v>1049999.5</v>
      </c>
      <c r="C19" s="33">
        <f>+profit!C32</f>
        <v>1128854.6349999998</v>
      </c>
      <c r="D19" s="33">
        <f>+profit!D32</f>
        <v>1221855.7466499992</v>
      </c>
      <c r="E19" s="33">
        <f>+profit!E32</f>
        <v>1451632.7138285022</v>
      </c>
      <c r="F19" s="33">
        <f>+profit!F32</f>
        <v>1558003.2664574273</v>
      </c>
    </row>
    <row r="20" spans="1:6" x14ac:dyDescent="0.25">
      <c r="A20" s="20"/>
      <c r="B20" s="34"/>
      <c r="C20" s="34"/>
      <c r="D20" s="34"/>
      <c r="E20" s="34"/>
      <c r="F20" s="34"/>
    </row>
    <row r="21" spans="1:6" x14ac:dyDescent="0.25">
      <c r="A21" s="20" t="s">
        <v>1</v>
      </c>
      <c r="B21" s="34">
        <f>+profit!B38</f>
        <v>1253917.5</v>
      </c>
      <c r="C21" s="34">
        <f>+profit!C38</f>
        <v>1065829.875</v>
      </c>
      <c r="D21" s="34">
        <f>+profit!D38</f>
        <v>905955.39374999993</v>
      </c>
      <c r="E21" s="34">
        <f>+profit!E38</f>
        <v>770062.08468750003</v>
      </c>
      <c r="F21" s="34">
        <f>+profit!F38</f>
        <v>654552.77198437497</v>
      </c>
    </row>
    <row r="22" spans="1:6" x14ac:dyDescent="0.25">
      <c r="A22" s="20"/>
      <c r="B22" s="34"/>
      <c r="C22" s="34"/>
      <c r="D22" s="34"/>
      <c r="E22" s="34"/>
      <c r="F22" s="34"/>
    </row>
    <row r="23" spans="1:6" x14ac:dyDescent="0.25">
      <c r="A23" s="20" t="s">
        <v>210</v>
      </c>
      <c r="B23" s="34">
        <f>+profit!B28</f>
        <v>0</v>
      </c>
      <c r="C23" s="34">
        <f>+profit!C28</f>
        <v>0</v>
      </c>
      <c r="D23" s="34">
        <f>+profit!D28</f>
        <v>0</v>
      </c>
      <c r="E23" s="34">
        <f>+profit!E28</f>
        <v>0</v>
      </c>
      <c r="F23" s="34">
        <f>+profit!F28</f>
        <v>0</v>
      </c>
    </row>
    <row r="24" spans="1:6" x14ac:dyDescent="0.25">
      <c r="A24" s="20"/>
      <c r="B24" s="34"/>
      <c r="C24" s="34"/>
      <c r="D24" s="34"/>
      <c r="E24" s="34"/>
      <c r="F24" s="34"/>
    </row>
    <row r="25" spans="1:6" x14ac:dyDescent="0.25">
      <c r="A25" s="20"/>
      <c r="B25" s="34"/>
      <c r="C25" s="26"/>
      <c r="D25" s="34"/>
      <c r="E25" s="35"/>
      <c r="F25" s="35"/>
    </row>
    <row r="26" spans="1:6" x14ac:dyDescent="0.25">
      <c r="A26" s="20"/>
      <c r="B26" s="36">
        <f t="shared" ref="B26:F26" si="0">SUM(B19:B24)</f>
        <v>2303917</v>
      </c>
      <c r="C26" s="36">
        <f t="shared" si="0"/>
        <v>2194684.5099999998</v>
      </c>
      <c r="D26" s="36">
        <f t="shared" si="0"/>
        <v>2127811.140399999</v>
      </c>
      <c r="E26" s="36">
        <f t="shared" si="0"/>
        <v>2221694.7985160025</v>
      </c>
      <c r="F26" s="36">
        <f t="shared" si="0"/>
        <v>2212556.0384418024</v>
      </c>
    </row>
    <row r="27" spans="1:6" ht="1.5" customHeight="1" x14ac:dyDescent="0.25">
      <c r="A27" s="24"/>
      <c r="B27" s="37"/>
      <c r="C27" s="30"/>
      <c r="D27" s="37"/>
      <c r="E27" s="30"/>
      <c r="F27" s="37"/>
    </row>
    <row r="30" spans="1:6" x14ac:dyDescent="0.25">
      <c r="A30" s="23" t="s">
        <v>91</v>
      </c>
      <c r="B30" s="38">
        <f>SUM(B26:F27)/5</f>
        <v>2212132.6974715604</v>
      </c>
      <c r="C30" s="39"/>
    </row>
    <row r="31" spans="1:6" x14ac:dyDescent="0.25">
      <c r="A31" s="20"/>
      <c r="B31" s="40"/>
      <c r="C31" s="35"/>
    </row>
    <row r="32" spans="1:6" x14ac:dyDescent="0.25">
      <c r="A32" s="20" t="s">
        <v>92</v>
      </c>
      <c r="B32" s="40">
        <f>Cost!C38</f>
        <v>9909070</v>
      </c>
      <c r="C32" s="35"/>
    </row>
    <row r="33" spans="1:3" x14ac:dyDescent="0.25">
      <c r="A33" s="20"/>
      <c r="B33" s="40"/>
      <c r="C33" s="35"/>
    </row>
    <row r="34" spans="1:3" x14ac:dyDescent="0.25">
      <c r="A34" s="24" t="s">
        <v>103</v>
      </c>
      <c r="B34" s="41">
        <f>+B30/B32%</f>
        <v>22.324322034979676</v>
      </c>
      <c r="C34" s="42" t="s">
        <v>66</v>
      </c>
    </row>
  </sheetData>
  <mergeCells count="4">
    <mergeCell ref="B8:D8"/>
    <mergeCell ref="B9:D9"/>
    <mergeCell ref="A17:A18"/>
    <mergeCell ref="B17:F17"/>
  </mergeCells>
  <phoneticPr fontId="0" type="noConversion"/>
  <printOptions horizontalCentered="1"/>
  <pageMargins left="0.74803149606299213" right="1.1417322834645669" top="0.98425196850393704" bottom="0.98425196850393704" header="0.51181102362204722" footer="0.51181102362204722"/>
  <pageSetup scale="85" orientation="portrait" horizontalDpi="4294967293" verticalDpi="144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45"/>
  <sheetViews>
    <sheetView tabSelected="1" view="pageBreakPreview" topLeftCell="A27" zoomScaleSheetLayoutView="100" workbookViewId="0">
      <selection activeCell="L20" sqref="L20"/>
    </sheetView>
  </sheetViews>
  <sheetFormatPr defaultColWidth="8.88671875" defaultRowHeight="13.8" x14ac:dyDescent="0.25"/>
  <cols>
    <col min="1" max="1" width="6.44140625" style="124" customWidth="1"/>
    <col min="2" max="2" width="7.6640625" style="124" customWidth="1"/>
    <col min="3" max="3" width="14.5546875" style="124" customWidth="1"/>
    <col min="4" max="4" width="11.44140625" style="124" customWidth="1"/>
    <col min="5" max="5" width="12.88671875" style="124" customWidth="1"/>
    <col min="6" max="6" width="16.88671875" style="124" customWidth="1"/>
    <col min="7" max="7" width="9.44140625" style="124" customWidth="1"/>
    <col min="8" max="8" width="27.88671875" style="124" customWidth="1"/>
    <col min="9" max="9" width="13.109375" style="124" customWidth="1"/>
    <col min="10" max="10" width="10.5546875" style="124" bestFit="1" customWidth="1"/>
    <col min="11" max="16384" width="8.88671875" style="124"/>
  </cols>
  <sheetData>
    <row r="1" spans="1:20" x14ac:dyDescent="0.25">
      <c r="A1" s="123" t="str">
        <f>'Annex 6 ROI'!A1</f>
        <v>Ayan Sharma</v>
      </c>
      <c r="H1" s="162"/>
    </row>
    <row r="2" spans="1:20" x14ac:dyDescent="0.25">
      <c r="A2" s="123"/>
      <c r="H2" s="162"/>
    </row>
    <row r="3" spans="1:20" x14ac:dyDescent="0.25">
      <c r="A3" s="123"/>
      <c r="H3" s="162"/>
    </row>
    <row r="4" spans="1:20" ht="14.4" x14ac:dyDescent="0.3">
      <c r="A4" s="125" t="s">
        <v>189</v>
      </c>
      <c r="H4" s="162"/>
    </row>
    <row r="5" spans="1:20" x14ac:dyDescent="0.25">
      <c r="A5" s="123" t="s">
        <v>169</v>
      </c>
      <c r="H5" s="162"/>
    </row>
    <row r="6" spans="1:20" x14ac:dyDescent="0.25">
      <c r="A6" s="123"/>
      <c r="H6" s="162"/>
    </row>
    <row r="7" spans="1:20" x14ac:dyDescent="0.25">
      <c r="A7" s="126"/>
      <c r="B7" s="123"/>
      <c r="H7" s="127"/>
    </row>
    <row r="8" spans="1:20" x14ac:dyDescent="0.25">
      <c r="A8" s="126">
        <v>3</v>
      </c>
      <c r="B8" s="132" t="s">
        <v>170</v>
      </c>
      <c r="D8" s="130"/>
      <c r="E8" s="130"/>
      <c r="F8" s="131"/>
      <c r="G8" s="130"/>
    </row>
    <row r="9" spans="1:20" x14ac:dyDescent="0.25">
      <c r="A9" s="133"/>
      <c r="B9" s="134" t="s">
        <v>171</v>
      </c>
      <c r="C9" s="135" t="s">
        <v>172</v>
      </c>
      <c r="D9" s="136"/>
      <c r="E9" s="137" t="s">
        <v>173</v>
      </c>
      <c r="F9" s="138" t="s">
        <v>174</v>
      </c>
      <c r="G9" s="223" t="s">
        <v>174</v>
      </c>
      <c r="H9" s="224"/>
      <c r="T9" s="145"/>
    </row>
    <row r="10" spans="1:20" x14ac:dyDescent="0.25">
      <c r="A10" s="133"/>
      <c r="B10" s="139"/>
      <c r="C10" s="140"/>
      <c r="D10" s="176"/>
      <c r="E10" s="141" t="s">
        <v>175</v>
      </c>
      <c r="F10" s="142" t="s">
        <v>176</v>
      </c>
      <c r="G10" s="219" t="s">
        <v>177</v>
      </c>
      <c r="H10" s="220"/>
      <c r="T10" s="145"/>
    </row>
    <row r="11" spans="1:20" x14ac:dyDescent="0.25">
      <c r="A11" s="133"/>
      <c r="B11" s="137">
        <v>1</v>
      </c>
      <c r="C11" s="128" t="s">
        <v>190</v>
      </c>
      <c r="D11" s="143"/>
      <c r="E11" s="137">
        <v>6</v>
      </c>
      <c r="F11" s="144">
        <v>30000</v>
      </c>
      <c r="G11" s="221">
        <f>F11*E11*12</f>
        <v>2160000</v>
      </c>
      <c r="H11" s="222"/>
      <c r="T11" s="145"/>
    </row>
    <row r="12" spans="1:20" x14ac:dyDescent="0.25">
      <c r="A12" s="133"/>
      <c r="B12" s="146"/>
      <c r="D12" s="130"/>
      <c r="E12" s="146"/>
      <c r="F12" s="147"/>
      <c r="G12" s="174"/>
      <c r="H12" s="175"/>
      <c r="T12" s="145"/>
    </row>
    <row r="13" spans="1:20" x14ac:dyDescent="0.25">
      <c r="A13" s="133"/>
      <c r="B13" s="146">
        <v>2</v>
      </c>
      <c r="C13" s="124" t="s">
        <v>191</v>
      </c>
      <c r="D13" s="130"/>
      <c r="E13" s="146">
        <v>2</v>
      </c>
      <c r="F13" s="147">
        <v>15000</v>
      </c>
      <c r="G13" s="215">
        <f>F13*E13*12</f>
        <v>360000</v>
      </c>
      <c r="H13" s="216"/>
    </row>
    <row r="14" spans="1:20" x14ac:dyDescent="0.25">
      <c r="A14" s="133"/>
      <c r="B14" s="146"/>
      <c r="D14" s="130"/>
      <c r="E14" s="146"/>
      <c r="F14" s="147"/>
      <c r="G14" s="215"/>
      <c r="H14" s="216"/>
    </row>
    <row r="15" spans="1:20" x14ac:dyDescent="0.25">
      <c r="A15" s="133"/>
      <c r="B15" s="148"/>
      <c r="C15" s="149" t="s">
        <v>30</v>
      </c>
      <c r="D15" s="150"/>
      <c r="E15" s="151">
        <f>SUM(E11:E14)</f>
        <v>8</v>
      </c>
      <c r="F15" s="152"/>
      <c r="G15" s="217">
        <f>SUM(G11:G14)</f>
        <v>2520000</v>
      </c>
      <c r="H15" s="218"/>
    </row>
    <row r="16" spans="1:20" x14ac:dyDescent="0.25">
      <c r="A16" s="133"/>
      <c r="B16" s="153" t="s">
        <v>178</v>
      </c>
      <c r="D16" s="130"/>
      <c r="E16" s="130"/>
      <c r="F16" s="131"/>
      <c r="G16" s="130"/>
    </row>
    <row r="17" spans="1:8" x14ac:dyDescent="0.25">
      <c r="A17" s="133"/>
      <c r="B17" s="153"/>
      <c r="D17" s="130"/>
      <c r="E17" s="130"/>
      <c r="F17" s="131"/>
      <c r="G17" s="130"/>
    </row>
    <row r="18" spans="1:8" x14ac:dyDescent="0.25">
      <c r="A18" s="126">
        <v>4</v>
      </c>
      <c r="B18" s="132" t="s">
        <v>179</v>
      </c>
      <c r="D18" s="130"/>
      <c r="E18" s="130"/>
      <c r="F18" s="131"/>
      <c r="G18" s="130"/>
    </row>
    <row r="19" spans="1:8" x14ac:dyDescent="0.25">
      <c r="A19" s="133"/>
      <c r="B19" s="135" t="s">
        <v>230</v>
      </c>
      <c r="C19" s="128"/>
      <c r="D19" s="128"/>
      <c r="E19" s="143"/>
      <c r="F19" s="154"/>
      <c r="G19" s="128"/>
      <c r="H19" s="155"/>
    </row>
    <row r="20" spans="1:8" x14ac:dyDescent="0.25">
      <c r="A20" s="133"/>
      <c r="B20" s="140" t="s">
        <v>180</v>
      </c>
      <c r="C20" s="156"/>
      <c r="D20" s="156"/>
      <c r="E20" s="157"/>
      <c r="F20" s="158"/>
      <c r="G20" s="156"/>
      <c r="H20" s="159"/>
    </row>
    <row r="21" spans="1:8" x14ac:dyDescent="0.25">
      <c r="A21" s="133"/>
      <c r="E21" s="130"/>
      <c r="F21" s="160"/>
    </row>
    <row r="22" spans="1:8" x14ac:dyDescent="0.25">
      <c r="A22" s="126">
        <v>5</v>
      </c>
      <c r="B22" s="123" t="s">
        <v>181</v>
      </c>
      <c r="E22" s="130"/>
      <c r="F22" s="160"/>
    </row>
    <row r="23" spans="1:8" x14ac:dyDescent="0.25">
      <c r="A23" s="133"/>
      <c r="B23" s="135" t="s">
        <v>182</v>
      </c>
      <c r="C23" s="128"/>
      <c r="D23" s="128"/>
      <c r="E23" s="143"/>
      <c r="F23" s="154"/>
      <c r="G23" s="128"/>
      <c r="H23" s="155"/>
    </row>
    <row r="24" spans="1:8" x14ac:dyDescent="0.25">
      <c r="A24" s="133"/>
      <c r="B24" s="140" t="s">
        <v>183</v>
      </c>
      <c r="C24" s="156"/>
      <c r="D24" s="156"/>
      <c r="E24" s="157"/>
      <c r="F24" s="158"/>
      <c r="G24" s="156"/>
      <c r="H24" s="159"/>
    </row>
    <row r="25" spans="1:8" x14ac:dyDescent="0.25">
      <c r="A25" s="133"/>
      <c r="E25" s="130"/>
      <c r="F25" s="160"/>
    </row>
    <row r="26" spans="1:8" x14ac:dyDescent="0.25">
      <c r="A26" s="126">
        <v>6</v>
      </c>
      <c r="B26" s="123" t="s">
        <v>184</v>
      </c>
      <c r="E26" s="130"/>
      <c r="F26" s="160"/>
    </row>
    <row r="27" spans="1:8" x14ac:dyDescent="0.25">
      <c r="A27" s="133"/>
      <c r="B27" s="135" t="s">
        <v>229</v>
      </c>
      <c r="C27" s="128"/>
      <c r="D27" s="128"/>
      <c r="E27" s="143"/>
      <c r="F27" s="154"/>
      <c r="G27" s="128"/>
      <c r="H27" s="155"/>
    </row>
    <row r="28" spans="1:8" x14ac:dyDescent="0.25">
      <c r="A28" s="133"/>
      <c r="B28" s="129" t="s">
        <v>219</v>
      </c>
      <c r="E28" s="130"/>
      <c r="F28" s="160"/>
      <c r="H28" s="161"/>
    </row>
    <row r="29" spans="1:8" x14ac:dyDescent="0.25">
      <c r="A29" s="126"/>
      <c r="B29" s="140"/>
      <c r="C29" s="156"/>
      <c r="D29" s="156"/>
      <c r="E29" s="156"/>
      <c r="F29" s="156"/>
      <c r="G29" s="156"/>
      <c r="H29" s="159"/>
    </row>
    <row r="30" spans="1:8" x14ac:dyDescent="0.25">
      <c r="A30" s="126"/>
    </row>
    <row r="31" spans="1:8" x14ac:dyDescent="0.25">
      <c r="A31" s="126">
        <v>7</v>
      </c>
      <c r="B31" s="123" t="s">
        <v>185</v>
      </c>
    </row>
    <row r="32" spans="1:8" x14ac:dyDescent="0.25">
      <c r="A32" s="130"/>
      <c r="B32" s="135" t="s">
        <v>186</v>
      </c>
      <c r="C32" s="128"/>
      <c r="D32" s="128"/>
      <c r="E32" s="128"/>
      <c r="F32" s="128"/>
      <c r="G32" s="128"/>
      <c r="H32" s="155"/>
    </row>
    <row r="33" spans="1:8" x14ac:dyDescent="0.25">
      <c r="A33" s="130"/>
      <c r="B33" s="129" t="s">
        <v>187</v>
      </c>
      <c r="H33" s="161"/>
    </row>
    <row r="34" spans="1:8" x14ac:dyDescent="0.25">
      <c r="A34" s="130"/>
      <c r="B34" s="129" t="s">
        <v>222</v>
      </c>
      <c r="H34" s="161"/>
    </row>
    <row r="35" spans="1:8" x14ac:dyDescent="0.25">
      <c r="A35" s="130"/>
      <c r="B35" s="129" t="s">
        <v>188</v>
      </c>
      <c r="H35" s="161"/>
    </row>
    <row r="36" spans="1:8" x14ac:dyDescent="0.25">
      <c r="A36" s="130"/>
      <c r="B36" s="140"/>
      <c r="C36" s="156"/>
      <c r="D36" s="156"/>
      <c r="E36" s="156"/>
      <c r="F36" s="156"/>
      <c r="G36" s="156"/>
      <c r="H36" s="159"/>
    </row>
    <row r="37" spans="1:8" x14ac:dyDescent="0.25">
      <c r="A37" s="130"/>
    </row>
    <row r="38" spans="1:8" x14ac:dyDescent="0.25">
      <c r="A38" s="130"/>
    </row>
    <row r="39" spans="1:8" x14ac:dyDescent="0.25">
      <c r="A39" s="130"/>
    </row>
    <row r="40" spans="1:8" x14ac:dyDescent="0.25">
      <c r="A40" s="130"/>
    </row>
    <row r="41" spans="1:8" x14ac:dyDescent="0.25">
      <c r="A41" s="130"/>
    </row>
    <row r="42" spans="1:8" x14ac:dyDescent="0.25">
      <c r="A42" s="130"/>
    </row>
    <row r="43" spans="1:8" x14ac:dyDescent="0.25">
      <c r="A43" s="130"/>
    </row>
    <row r="44" spans="1:8" x14ac:dyDescent="0.25">
      <c r="A44" s="130"/>
    </row>
    <row r="45" spans="1:8" x14ac:dyDescent="0.25">
      <c r="A45" s="130"/>
    </row>
  </sheetData>
  <mergeCells count="6">
    <mergeCell ref="G9:H9"/>
    <mergeCell ref="G14:H14"/>
    <mergeCell ref="G15:H15"/>
    <mergeCell ref="G10:H10"/>
    <mergeCell ref="G13:H13"/>
    <mergeCell ref="G11:H11"/>
  </mergeCells>
  <pageMargins left="0.6692913385826772" right="0.55118110236220474" top="0.74803149606299213" bottom="0.59055118110236227" header="0.11811023622047245" footer="0.59055118110236227"/>
  <pageSetup scale="88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14</vt:i4>
      </vt:variant>
    </vt:vector>
  </HeadingPairs>
  <TitlesOfParts>
    <vt:vector size="30" baseType="lpstr">
      <vt:lpstr>Sheet1</vt:lpstr>
      <vt:lpstr>Cover Page</vt:lpstr>
      <vt:lpstr>Sign</vt:lpstr>
      <vt:lpstr>Index</vt:lpstr>
      <vt:lpstr>Project</vt:lpstr>
      <vt:lpstr>Cost</vt:lpstr>
      <vt:lpstr>profit</vt:lpstr>
      <vt:lpstr>Cash</vt:lpstr>
      <vt:lpstr>B.sheet</vt:lpstr>
      <vt:lpstr>Depr.</vt:lpstr>
      <vt:lpstr>BEP</vt:lpstr>
      <vt:lpstr>FI</vt:lpstr>
      <vt:lpstr>Interest</vt:lpstr>
      <vt:lpstr>Annex 5 DSCR</vt:lpstr>
      <vt:lpstr>Annex 6 ROI</vt:lpstr>
      <vt:lpstr>Assumptions</vt:lpstr>
      <vt:lpstr>'Annex 5 DSCR'!Print_Area</vt:lpstr>
      <vt:lpstr>'Annex 6 ROI'!Print_Area</vt:lpstr>
      <vt:lpstr>B.sheet!Print_Area</vt:lpstr>
      <vt:lpstr>BEP!Print_Area</vt:lpstr>
      <vt:lpstr>Cash!Print_Area</vt:lpstr>
      <vt:lpstr>Cost!Print_Area</vt:lpstr>
      <vt:lpstr>'Cover Page'!Print_Area</vt:lpstr>
      <vt:lpstr>Depr.!Print_Area</vt:lpstr>
      <vt:lpstr>FI!Print_Area</vt:lpstr>
      <vt:lpstr>Index!Print_Area</vt:lpstr>
      <vt:lpstr>Interest!Print_Area</vt:lpstr>
      <vt:lpstr>profit!Print_Area</vt:lpstr>
      <vt:lpstr>Project!Print_Area</vt:lpstr>
      <vt:lpstr>Sign!Print_Area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Subramanya</dc:creator>
  <cp:lastModifiedBy>Shriya Shetty</cp:lastModifiedBy>
  <cp:lastPrinted>2026-04-25T09:48:42Z</cp:lastPrinted>
  <dcterms:created xsi:type="dcterms:W3CDTF">2001-03-09T05:50:55Z</dcterms:created>
  <dcterms:modified xsi:type="dcterms:W3CDTF">2026-04-25T13:19:38Z</dcterms:modified>
</cp:coreProperties>
</file>